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4000" windowHeight="14720" tabRatio="732" firstSheet="0" activeTab="2" autoFilterDateGrouping="1"/>
  </bookViews>
  <sheets>
    <sheet name="Cover" sheetId="1" state="visible" r:id="rId1"/>
    <sheet name="Report" sheetId="2" state="visible" r:id="rId2"/>
    <sheet name="Module 1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6">
    <font>
      <name val="Calibri"/>
      <charset val="163"/>
      <family val="2"/>
      <color theme="1"/>
      <sz val="11"/>
      <scheme val="minor"/>
    </font>
    <font>
      <name val="Times New Roman"/>
      <family val="1"/>
      <b val="1"/>
      <color rgb="FF37A0D9"/>
      <sz val="22"/>
    </font>
    <font>
      <name val="Times New Roman"/>
      <family val="1"/>
      <b val="1"/>
      <color indexed="60"/>
      <sz val="26"/>
    </font>
    <font>
      <name val="Times New Roman"/>
      <family val="1"/>
      <b val="1"/>
      <color indexed="60"/>
      <sz val="12"/>
    </font>
    <font>
      <name val="Times New Roman"/>
      <family val="1"/>
      <i val="1"/>
      <sz val="12"/>
    </font>
    <font>
      <name val="ＭＳ Ｐゴシック"/>
      <family val="2"/>
      <sz val="11"/>
    </font>
    <font>
      <name val="Times New Roman"/>
      <family val="1"/>
      <sz val="12"/>
    </font>
    <font>
      <name val="Times New Roman"/>
      <family val="1"/>
      <b val="1"/>
      <color rgb="FF993300"/>
      <sz val="12"/>
    </font>
    <font>
      <name val="Times New Roman"/>
      <family val="1"/>
      <color rgb="FFFF0000"/>
      <sz val="12"/>
    </font>
    <font>
      <name val="Times New Roman"/>
      <family val="1"/>
      <b val="1"/>
      <color rgb="FFFFFFFF"/>
      <sz val="12"/>
    </font>
    <font>
      <name val="Times New Roman"/>
      <family val="1"/>
      <b val="1"/>
      <color rgb="FFFF0000"/>
      <sz val="12"/>
    </font>
    <font>
      <name val="Times New Roman"/>
      <family val="1"/>
      <i val="1"/>
      <color theme="6" tint="-0.499984740745262"/>
      <sz val="12"/>
    </font>
    <font>
      <name val="Times New Roman"/>
      <family val="1"/>
      <b val="1"/>
      <color theme="5" tint="-0.499984740745262"/>
      <sz val="12"/>
    </font>
    <font>
      <name val="Times New Roman"/>
      <family val="1"/>
      <b val="1"/>
      <color theme="0"/>
      <sz val="12"/>
    </font>
    <font>
      <name val="Times New Roman"/>
      <family val="1"/>
      <color theme="0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charset val="128"/>
      <family val="3"/>
      <sz val="6"/>
      <scheme val="minor"/>
    </font>
    <font>
      <name val="Times New Roman"/>
      <family val="1"/>
      <color theme="1"/>
      <sz val="7"/>
    </font>
    <font>
      <name val="Times New Roman"/>
      <family val="1"/>
      <b val="1"/>
      <color theme="1"/>
      <sz val="7"/>
    </font>
    <font>
      <name val="Times New Roman"/>
      <family val="1"/>
      <b val="1"/>
      <color theme="0"/>
      <sz val="7"/>
    </font>
    <font>
      <name val="Times New Roman"/>
      <family val="1"/>
      <b val="1"/>
      <color theme="5"/>
      <sz val="7"/>
      <u val="single"/>
    </font>
    <font>
      <name val="Times New Roman"/>
      <family val="1"/>
      <b val="1"/>
      <sz val="7"/>
    </font>
    <font>
      <name val="Times New Roman"/>
      <family val="1"/>
      <b val="1"/>
      <color rgb="FFFF0000"/>
      <sz val="7"/>
    </font>
    <font>
      <name val="Times New Roman"/>
      <family val="1"/>
      <color theme="0"/>
      <sz val="7"/>
    </font>
    <font>
      <name val="Times New Roman"/>
      <family val="1"/>
      <sz val="7"/>
    </font>
  </fonts>
  <fills count="2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rgb="FFC00000"/>
      </patternFill>
    </fill>
    <fill>
      <patternFill patternType="solid">
        <fgColor theme="4" tint="0.7999816888943144"/>
        <b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80"/>
      </patternFill>
    </fill>
    <fill>
      <patternFill patternType="solid">
        <fgColor rgb="FF0070C0"/>
        <bgColor rgb="FF000080"/>
      </patternFill>
    </fill>
    <fill>
      <patternFill patternType="solid">
        <fgColor theme="9" tint="-0.499984740745262"/>
        <bgColor rgb="FF000080"/>
      </patternFill>
    </fill>
    <fill>
      <patternFill patternType="solid">
        <fgColor theme="9" tint="0.3999755851924192"/>
        <bgColor rgb="FF000080"/>
      </patternFill>
    </fill>
    <fill>
      <patternFill patternType="solid">
        <fgColor theme="4" tint="0.5999938962981048"/>
        <bgColor rgb="FF000080"/>
      </patternFill>
    </fill>
    <fill>
      <patternFill patternType="solid">
        <fgColor theme="0" tint="-0.1499984740745262"/>
        <bgColor rgb="FF000080"/>
      </patternFill>
    </fill>
    <fill>
      <patternFill patternType="solid">
        <fgColor theme="0" tint="-0.0499893185216834"/>
        <bgColor rgb="FF000080"/>
      </patternFill>
    </fill>
    <fill>
      <patternFill patternType="solid">
        <fgColor theme="4" tint="0.3999755851924192"/>
        <bgColor rgb="FF000080"/>
      </patternFill>
    </fill>
    <fill>
      <patternFill patternType="solid">
        <fgColor rgb="FF0070C0"/>
        <bgColor rgb="FFFFFFF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rgb="FFFFFFFF"/>
      </patternFill>
    </fill>
    <fill>
      <patternFill patternType="solid">
        <fgColor theme="6" tint="0.5999938962981048"/>
        <bgColor rgb="FF000080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/>
  </cellStyleXfs>
  <cellXfs count="3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2" fillId="3" borderId="0" pivotButton="0" quotePrefix="0" xfId="0"/>
    <xf numFmtId="0" fontId="0" fillId="2" borderId="0" pivotButton="0" quotePrefix="0" xfId="0"/>
    <xf numFmtId="1" fontId="2" fillId="3" borderId="0" applyAlignment="1" pivotButton="0" quotePrefix="0" xfId="0">
      <alignment horizontal="center"/>
    </xf>
    <xf numFmtId="49" fontId="4" fillId="4" borderId="1" applyAlignment="1" pivotButton="0" quotePrefix="0" xfId="0">
      <alignment horizontal="left" vertical="center"/>
    </xf>
    <xf numFmtId="0" fontId="6" fillId="2" borderId="0" pivotButton="0" quotePrefix="0" xfId="0"/>
    <xf numFmtId="0" fontId="7" fillId="2" borderId="0" pivotButton="0" quotePrefix="0" xfId="0"/>
    <xf numFmtId="0" fontId="6" fillId="5" borderId="0" applyAlignment="1" pivotButton="0" quotePrefix="0" xfId="0">
      <alignment horizontal="right"/>
    </xf>
    <xf numFmtId="164" fontId="9" fillId="6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vertical="center" wrapText="1"/>
    </xf>
    <xf numFmtId="49" fontId="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15" fontId="6" fillId="2" borderId="1" applyAlignment="1" pivotButton="0" quotePrefix="0" xfId="0">
      <alignment horizontal="center" vertical="center"/>
    </xf>
    <xf numFmtId="15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 wrapText="1"/>
    </xf>
    <xf numFmtId="0" fontId="12" fillId="7" borderId="0" applyAlignment="1" pivotButton="0" quotePrefix="0" xfId="0">
      <alignment horizontal="left" vertical="center" wrapText="1"/>
    </xf>
    <xf numFmtId="0" fontId="6" fillId="8" borderId="4" applyAlignment="1" pivotButton="0" quotePrefix="0" xfId="0">
      <alignment vertical="center" wrapText="1"/>
    </xf>
    <xf numFmtId="0" fontId="12" fillId="7" borderId="0" applyAlignment="1" pivotButton="0" quotePrefix="0" xfId="0">
      <alignment horizontal="right" vertical="center" wrapText="1"/>
    </xf>
    <xf numFmtId="0" fontId="6" fillId="8" borderId="0" applyAlignment="1" pivotButton="0" quotePrefix="0" xfId="0">
      <alignment vertical="center" wrapText="1"/>
    </xf>
    <xf numFmtId="0" fontId="6" fillId="8" borderId="5" applyAlignment="1" pivotButton="0" quotePrefix="0" xfId="0">
      <alignment vertical="center" wrapText="1"/>
    </xf>
    <xf numFmtId="0" fontId="4" fillId="8" borderId="0" applyAlignment="1" pivotButton="0" quotePrefix="0" xfId="0">
      <alignment wrapText="1"/>
    </xf>
    <xf numFmtId="0" fontId="4" fillId="8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6" fillId="7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49" fontId="4" fillId="8" borderId="5" applyAlignment="1" pivotButton="0" quotePrefix="0" xfId="0">
      <alignment vertical="center" wrapText="1"/>
    </xf>
    <xf numFmtId="49" fontId="4" fillId="8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15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164" fontId="13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13" fillId="6" borderId="3" applyAlignment="1" pivotButton="0" quotePrefix="0" xfId="0">
      <alignment vertical="center" wrapText="1"/>
    </xf>
    <xf numFmtId="164" fontId="13" fillId="6" borderId="1" applyAlignment="1" pivotButton="0" quotePrefix="0" xfId="0">
      <alignment vertical="center" wrapText="1"/>
    </xf>
    <xf numFmtId="164" fontId="13" fillId="6" borderId="12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13" fillId="5" borderId="0" applyAlignment="1" pivotButton="0" quotePrefix="0" xfId="0">
      <alignment vertical="center" wrapText="1"/>
    </xf>
    <xf numFmtId="164" fontId="13" fillId="22" borderId="0" applyAlignment="1" pivotButton="0" quotePrefix="0" xfId="0">
      <alignment horizontal="center" vertical="center" wrapText="1"/>
    </xf>
    <xf numFmtId="0" fontId="6" fillId="0" borderId="5" applyAlignment="1" pivotButton="0" quotePrefix="0" xfId="0">
      <alignment vertical="center" wrapText="1"/>
    </xf>
    <xf numFmtId="0" fontId="6" fillId="7" borderId="6" applyAlignment="1" pivotButton="0" quotePrefix="0" xfId="0">
      <alignment vertical="center" wrapText="1"/>
    </xf>
    <xf numFmtId="0" fontId="6" fillId="7" borderId="30" applyAlignment="1" pivotButton="0" quotePrefix="0" xfId="0">
      <alignment vertical="center" wrapText="1"/>
    </xf>
    <xf numFmtId="0" fontId="6" fillId="7" borderId="7" applyAlignment="1" pivotButton="0" quotePrefix="0" xfId="0">
      <alignment vertical="center" wrapText="1"/>
    </xf>
    <xf numFmtId="0" fontId="18" fillId="5" borderId="0" pivotButton="0" quotePrefix="0" xfId="0"/>
    <xf numFmtId="0" fontId="19" fillId="5" borderId="0" pivotButton="0" quotePrefix="0" xfId="0"/>
    <xf numFmtId="0" fontId="18" fillId="5" borderId="0" applyAlignment="1" pivotButton="0" quotePrefix="0" xfId="0">
      <alignment vertical="center"/>
    </xf>
    <xf numFmtId="0" fontId="18" fillId="2" borderId="0" pivotButton="0" quotePrefix="0" xfId="0"/>
    <xf numFmtId="0" fontId="18" fillId="0" borderId="0" pivotButton="0" quotePrefix="0" xfId="0"/>
    <xf numFmtId="0" fontId="21" fillId="2" borderId="0" applyAlignment="1" pivotButton="0" quotePrefix="0" xfId="0">
      <alignment vertical="center"/>
    </xf>
    <xf numFmtId="164" fontId="20" fillId="6" borderId="15" applyAlignment="1" pivotButton="0" quotePrefix="0" xfId="0">
      <alignment horizontal="center" vertical="center" wrapText="1"/>
    </xf>
    <xf numFmtId="164" fontId="20" fillId="6" borderId="1" applyAlignment="1" pivotButton="0" quotePrefix="0" xfId="0">
      <alignment horizontal="center" vertical="center" wrapText="1"/>
    </xf>
    <xf numFmtId="164" fontId="20" fillId="6" borderId="1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left" vertical="top"/>
    </xf>
    <xf numFmtId="0" fontId="18" fillId="19" borderId="15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3" fillId="19" borderId="1" applyAlignment="1" pivotButton="0" quotePrefix="0" xfId="0">
      <alignment horizontal="center" vertical="center"/>
    </xf>
    <xf numFmtId="0" fontId="23" fillId="19" borderId="12" applyAlignment="1" pivotButton="0" quotePrefix="0" xfId="0">
      <alignment horizontal="center" vertical="center"/>
    </xf>
    <xf numFmtId="49" fontId="18" fillId="20" borderId="15" applyAlignment="1" pivotButton="0" quotePrefix="0" xfId="0">
      <alignment horizontal="center" vertical="center"/>
    </xf>
    <xf numFmtId="49" fontId="18" fillId="20" borderId="1" applyAlignment="1" pivotButton="0" quotePrefix="0" xfId="0">
      <alignment horizontal="center" vertical="center"/>
    </xf>
    <xf numFmtId="49" fontId="19" fillId="20" borderId="1" applyAlignment="1" pivotButton="0" quotePrefix="0" xfId="0">
      <alignment horizontal="center" vertical="center"/>
    </xf>
    <xf numFmtId="0" fontId="23" fillId="20" borderId="1" applyAlignment="1" pivotButton="0" quotePrefix="0" xfId="0">
      <alignment horizontal="center" vertical="center"/>
    </xf>
    <xf numFmtId="0" fontId="23" fillId="20" borderId="12" applyAlignment="1" pivotButton="0" quotePrefix="0" xfId="0">
      <alignment horizontal="center" vertical="center"/>
    </xf>
    <xf numFmtId="0" fontId="19" fillId="21" borderId="15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3" fillId="21" borderId="12" applyAlignment="1" pivotButton="0" quotePrefix="0" xfId="0">
      <alignment horizontal="center" vertical="center"/>
    </xf>
    <xf numFmtId="0" fontId="18" fillId="19" borderId="17" applyAlignment="1" pivotButton="0" quotePrefix="0" xfId="0">
      <alignment horizontal="center" vertical="center"/>
    </xf>
    <xf numFmtId="0" fontId="18" fillId="19" borderId="18" applyAlignment="1" pivotButton="0" quotePrefix="0" xfId="0">
      <alignment horizontal="center" vertical="center"/>
    </xf>
    <xf numFmtId="0" fontId="19" fillId="19" borderId="18" applyAlignment="1" pivotButton="0" quotePrefix="0" xfId="0">
      <alignment horizontal="center" vertical="center"/>
    </xf>
    <xf numFmtId="0" fontId="23" fillId="19" borderId="18" applyAlignment="1" pivotButton="0" quotePrefix="0" xfId="0">
      <alignment horizontal="center" vertical="center"/>
    </xf>
    <xf numFmtId="0" fontId="23" fillId="19" borderId="19" applyAlignment="1" pivotButton="0" quotePrefix="0" xfId="0">
      <alignment horizontal="center" vertical="center"/>
    </xf>
    <xf numFmtId="49" fontId="18" fillId="20" borderId="17" applyAlignment="1" pivotButton="0" quotePrefix="0" xfId="0">
      <alignment horizontal="center" vertical="center"/>
    </xf>
    <xf numFmtId="49" fontId="18" fillId="20" borderId="18" applyAlignment="1" pivotButton="0" quotePrefix="0" xfId="0">
      <alignment horizontal="center" vertical="center"/>
    </xf>
    <xf numFmtId="49" fontId="19" fillId="20" borderId="18" applyAlignment="1" pivotButton="0" quotePrefix="0" xfId="0">
      <alignment horizontal="center" vertical="center"/>
    </xf>
    <xf numFmtId="0" fontId="23" fillId="20" borderId="18" applyAlignment="1" pivotButton="0" quotePrefix="0" xfId="0">
      <alignment horizontal="center" vertical="center"/>
    </xf>
    <xf numFmtId="0" fontId="23" fillId="20" borderId="19" applyAlignment="1" pivotButton="0" quotePrefix="0" xfId="0">
      <alignment horizontal="center" vertical="center"/>
    </xf>
    <xf numFmtId="0" fontId="19" fillId="21" borderId="17" applyAlignment="1" pivotButton="0" quotePrefix="0" xfId="0">
      <alignment horizontal="center" vertical="center"/>
    </xf>
    <xf numFmtId="0" fontId="18" fillId="21" borderId="18" applyAlignment="1" pivotButton="0" quotePrefix="0" xfId="0">
      <alignment horizontal="center" vertical="center"/>
    </xf>
    <xf numFmtId="0" fontId="23" fillId="21" borderId="18" applyAlignment="1" pivotButton="0" quotePrefix="0" xfId="0">
      <alignment horizontal="center" vertical="center"/>
    </xf>
    <xf numFmtId="0" fontId="23" fillId="21" borderId="19" applyAlignment="1" pivotButton="0" quotePrefix="0" xfId="0">
      <alignment horizontal="center" vertical="center"/>
    </xf>
    <xf numFmtId="0" fontId="19" fillId="2" borderId="0" applyAlignment="1" pivotButton="0" quotePrefix="0" xfId="0">
      <alignment vertical="center"/>
    </xf>
    <xf numFmtId="0" fontId="19" fillId="2" borderId="0" pivotButton="0" quotePrefix="0" xfId="0"/>
    <xf numFmtId="0" fontId="18" fillId="0" borderId="0" applyAlignment="1" pivotButton="0" quotePrefix="0" xfId="0">
      <alignment wrapText="1"/>
    </xf>
    <xf numFmtId="0" fontId="18" fillId="10" borderId="1" applyAlignment="1" pivotButton="0" quotePrefix="0" xfId="0">
      <alignment horizontal="left" vertical="top"/>
    </xf>
    <xf numFmtId="0" fontId="25" fillId="13" borderId="1" applyAlignment="1" pivotButton="0" quotePrefix="0" xfId="0">
      <alignment horizontal="center" wrapText="1"/>
    </xf>
    <xf numFmtId="0" fontId="22" fillId="13" borderId="1" applyAlignment="1" pivotButton="0" quotePrefix="0" xfId="0">
      <alignment horizontal="center" wrapText="1"/>
    </xf>
    <xf numFmtId="0" fontId="22" fillId="17" borderId="1" applyAlignment="1" pivotButton="0" quotePrefix="0" xfId="0">
      <alignment horizontal="center" wrapText="1"/>
    </xf>
    <xf numFmtId="0" fontId="22" fillId="15" borderId="1" applyAlignment="1" pivotButton="0" quotePrefix="0" xfId="0">
      <alignment horizontal="center" wrapText="1"/>
    </xf>
    <xf numFmtId="2" fontId="23" fillId="5" borderId="1" applyAlignment="1" pivotButton="0" quotePrefix="0" xfId="0">
      <alignment horizontal="center" wrapText="1"/>
    </xf>
    <xf numFmtId="2" fontId="18" fillId="5" borderId="1" applyAlignment="1" pivotButton="0" quotePrefix="0" xfId="0">
      <alignment horizontal="center" vertical="center" wrapText="1"/>
    </xf>
    <xf numFmtId="2" fontId="18" fillId="5" borderId="1" applyAlignment="1" pivotButton="0" quotePrefix="0" xfId="0">
      <alignment horizontal="center" wrapText="1"/>
    </xf>
    <xf numFmtId="2" fontId="18" fillId="5" borderId="12" applyAlignment="1" pivotButton="0" quotePrefix="0" xfId="0">
      <alignment horizontal="center" wrapText="1"/>
    </xf>
    <xf numFmtId="0" fontId="20" fillId="12" borderId="18" applyAlignment="1" pivotButton="0" quotePrefix="0" xfId="0">
      <alignment horizontal="center" wrapText="1"/>
    </xf>
    <xf numFmtId="2" fontId="20" fillId="12" borderId="18" applyAlignment="1" pivotButton="0" quotePrefix="0" xfId="0">
      <alignment horizontal="center" vertical="center" wrapText="1"/>
    </xf>
    <xf numFmtId="2" fontId="20" fillId="12" borderId="18" applyAlignment="1" pivotButton="0" quotePrefix="0" xfId="0">
      <alignment horizontal="center" wrapText="1"/>
    </xf>
    <xf numFmtId="2" fontId="20" fillId="12" borderId="19" applyAlignment="1" pivotButton="0" quotePrefix="0" xfId="0">
      <alignment horizontal="center" wrapText="1"/>
    </xf>
    <xf numFmtId="0" fontId="25" fillId="15" borderId="1" applyAlignment="1" pivotButton="0" quotePrefix="0" xfId="0">
      <alignment horizontal="center" wrapText="1"/>
    </xf>
    <xf numFmtId="164" fontId="20" fillId="6" borderId="25" applyAlignment="1" pivotButton="0" quotePrefix="0" xfId="0">
      <alignment horizontal="center" vertical="center"/>
    </xf>
    <xf numFmtId="164" fontId="20" fillId="6" borderId="24" applyAlignment="1" pivotButton="0" quotePrefix="0" xfId="0">
      <alignment horizontal="center" vertical="center"/>
    </xf>
    <xf numFmtId="164" fontId="20" fillId="6" borderId="31" applyAlignment="1" pivotButton="0" quotePrefix="0" xfId="0">
      <alignment horizontal="left" vertical="center"/>
    </xf>
    <xf numFmtId="164" fontId="20" fillId="6" borderId="22" applyAlignment="1" pivotButton="0" quotePrefix="0" xfId="0">
      <alignment horizontal="center" vertical="center"/>
    </xf>
    <xf numFmtId="0" fontId="18" fillId="10" borderId="33" applyAlignment="1" pivotButton="0" quotePrefix="0" xfId="0">
      <alignment horizontal="left" vertical="top"/>
    </xf>
    <xf numFmtId="0" fontId="18" fillId="13" borderId="8" applyAlignment="1" pivotButton="0" quotePrefix="0" xfId="0">
      <alignment horizontal="center" wrapText="1"/>
    </xf>
    <xf numFmtId="0" fontId="18" fillId="13" borderId="9" applyAlignment="1" pivotButton="0" quotePrefix="0" xfId="0">
      <alignment horizontal="center" wrapText="1"/>
    </xf>
    <xf numFmtId="0" fontId="19" fillId="13" borderId="14" applyAlignment="1" pivotButton="0" quotePrefix="0" xfId="0">
      <alignment horizontal="center" wrapText="1"/>
    </xf>
    <xf numFmtId="0" fontId="18" fillId="14" borderId="8" applyAlignment="1" pivotButton="0" quotePrefix="0" xfId="0">
      <alignment horizontal="center" wrapText="1"/>
    </xf>
    <xf numFmtId="0" fontId="18" fillId="14" borderId="9" applyAlignment="1" pivotButton="0" quotePrefix="0" xfId="0">
      <alignment horizontal="center" wrapText="1"/>
    </xf>
    <xf numFmtId="0" fontId="19" fillId="14" borderId="14" applyAlignment="1" pivotButton="0" quotePrefix="0" xfId="0">
      <alignment horizontal="center" wrapText="1"/>
    </xf>
    <xf numFmtId="0" fontId="18" fillId="15" borderId="8" applyAlignment="1" pivotButton="0" quotePrefix="0" xfId="0">
      <alignment horizontal="center" wrapText="1"/>
    </xf>
    <xf numFmtId="0" fontId="18" fillId="15" borderId="9" applyAlignment="1" pivotButton="0" quotePrefix="0" xfId="0">
      <alignment horizontal="center" wrapText="1"/>
    </xf>
    <xf numFmtId="0" fontId="19" fillId="15" borderId="14" applyAlignment="1" pivotButton="0" quotePrefix="0" xfId="0">
      <alignment horizontal="center" wrapText="1"/>
    </xf>
    <xf numFmtId="0" fontId="19" fillId="5" borderId="35" applyAlignment="1" pivotButton="0" quotePrefix="0" xfId="0">
      <alignment horizontal="center" wrapText="1"/>
    </xf>
    <xf numFmtId="0" fontId="18" fillId="0" borderId="9" applyAlignment="1" pivotButton="0" quotePrefix="0" xfId="0">
      <alignment wrapText="1"/>
    </xf>
    <xf numFmtId="0" fontId="18" fillId="13" borderId="15" applyAlignment="1" pivotButton="0" quotePrefix="0" xfId="0">
      <alignment horizontal="center" wrapText="1"/>
    </xf>
    <xf numFmtId="0" fontId="18" fillId="13" borderId="1" applyAlignment="1" pivotButton="0" quotePrefix="0" xfId="0">
      <alignment horizontal="center" wrapText="1"/>
    </xf>
    <xf numFmtId="0" fontId="19" fillId="13" borderId="12" applyAlignment="1" pivotButton="0" quotePrefix="0" xfId="0">
      <alignment horizontal="center" wrapText="1"/>
    </xf>
    <xf numFmtId="0" fontId="18" fillId="14" borderId="15" applyAlignment="1" pivotButton="0" quotePrefix="0" xfId="0">
      <alignment horizontal="center" wrapText="1"/>
    </xf>
    <xf numFmtId="0" fontId="18" fillId="14" borderId="1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wrapText="1"/>
    </xf>
    <xf numFmtId="0" fontId="18" fillId="15" borderId="15" applyAlignment="1" pivotButton="0" quotePrefix="0" xfId="0">
      <alignment horizontal="center" wrapText="1"/>
    </xf>
    <xf numFmtId="0" fontId="18" fillId="15" borderId="1" applyAlignment="1" pivotButton="0" quotePrefix="0" xfId="0">
      <alignment horizontal="center" wrapText="1"/>
    </xf>
    <xf numFmtId="0" fontId="19" fillId="15" borderId="12" applyAlignment="1" pivotButton="0" quotePrefix="0" xfId="0">
      <alignment horizontal="center" wrapText="1"/>
    </xf>
    <xf numFmtId="0" fontId="19" fillId="5" borderId="3" applyAlignment="1" pivotButton="0" quotePrefix="0" xfId="0">
      <alignment horizontal="center" wrapText="1"/>
    </xf>
    <xf numFmtId="0" fontId="18" fillId="0" borderId="1" applyAlignment="1" pivotButton="0" quotePrefix="0" xfId="0">
      <alignment wrapText="1"/>
    </xf>
    <xf numFmtId="0" fontId="18" fillId="0" borderId="0" applyAlignment="1" pivotButton="0" quotePrefix="0" xfId="0">
      <alignment horizontal="center"/>
    </xf>
    <xf numFmtId="0" fontId="18" fillId="10" borderId="20" applyAlignment="1" pivotButton="0" quotePrefix="0" xfId="0">
      <alignment horizontal="left" vertical="top"/>
    </xf>
    <xf numFmtId="0" fontId="18" fillId="13" borderId="17" applyAlignment="1" pivotButton="0" quotePrefix="0" xfId="0">
      <alignment horizontal="center" wrapText="1"/>
    </xf>
    <xf numFmtId="0" fontId="18" fillId="13" borderId="18" applyAlignment="1" pivotButton="0" quotePrefix="0" xfId="0">
      <alignment horizontal="center" wrapText="1"/>
    </xf>
    <xf numFmtId="0" fontId="19" fillId="13" borderId="19" applyAlignment="1" pivotButton="0" quotePrefix="0" xfId="0">
      <alignment horizontal="center" wrapText="1"/>
    </xf>
    <xf numFmtId="0" fontId="18" fillId="14" borderId="17" applyAlignment="1" pivotButton="0" quotePrefix="0" xfId="0">
      <alignment horizontal="center" wrapText="1"/>
    </xf>
    <xf numFmtId="0" fontId="18" fillId="14" borderId="18" applyAlignment="1" pivotButton="0" quotePrefix="0" xfId="0">
      <alignment horizontal="center" wrapText="1"/>
    </xf>
    <xf numFmtId="0" fontId="18" fillId="15" borderId="17" applyAlignment="1" pivotButton="0" quotePrefix="0" xfId="0">
      <alignment horizontal="center" wrapText="1"/>
    </xf>
    <xf numFmtId="0" fontId="18" fillId="15" borderId="18" applyAlignment="1" pivotButton="0" quotePrefix="0" xfId="0">
      <alignment horizontal="center" wrapText="1"/>
    </xf>
    <xf numFmtId="0" fontId="19" fillId="5" borderId="32" applyAlignment="1" pivotButton="0" quotePrefix="0" xfId="0">
      <alignment horizontal="center" wrapText="1"/>
    </xf>
    <xf numFmtId="0" fontId="18" fillId="0" borderId="18" applyAlignment="1" pivotButton="0" quotePrefix="0" xfId="0">
      <alignment wrapText="1"/>
    </xf>
    <xf numFmtId="0" fontId="19" fillId="5" borderId="8" applyAlignment="1" pivotButton="0" quotePrefix="0" xfId="0">
      <alignment horizontal="center" wrapText="1"/>
    </xf>
    <xf numFmtId="0" fontId="19" fillId="5" borderId="15" applyAlignment="1" pivotButton="0" quotePrefix="0" xfId="0">
      <alignment horizontal="center" wrapText="1"/>
    </xf>
    <xf numFmtId="0" fontId="19" fillId="5" borderId="17" applyAlignment="1" pivotButton="0" quotePrefix="0" xfId="0">
      <alignment horizontal="center" wrapText="1"/>
    </xf>
    <xf numFmtId="0" fontId="18" fillId="5" borderId="9" applyAlignment="1" pivotButton="0" quotePrefix="0" xfId="0">
      <alignment wrapText="1"/>
    </xf>
    <xf numFmtId="0" fontId="18" fillId="5" borderId="1" applyAlignment="1" pivotButton="0" quotePrefix="0" xfId="0">
      <alignment wrapText="1"/>
    </xf>
    <xf numFmtId="0" fontId="18" fillId="5" borderId="18" applyAlignment="1" pivotButton="0" quotePrefix="0" xfId="0">
      <alignment wrapText="1"/>
    </xf>
    <xf numFmtId="0" fontId="18" fillId="5" borderId="23" pivotButton="0" quotePrefix="0" xfId="0"/>
    <xf numFmtId="0" fontId="18" fillId="5" borderId="26" pivotButton="0" quotePrefix="0" xfId="0"/>
    <xf numFmtId="0" fontId="18" fillId="5" borderId="34" pivotButton="0" quotePrefix="0" xfId="0"/>
    <xf numFmtId="0" fontId="18" fillId="5" borderId="23" applyAlignment="1" pivotButton="0" quotePrefix="0" xfId="0">
      <alignment horizontal="center"/>
    </xf>
    <xf numFmtId="0" fontId="18" fillId="5" borderId="26" applyAlignment="1" pivotButton="0" quotePrefix="0" xfId="0">
      <alignment horizontal="center"/>
    </xf>
    <xf numFmtId="0" fontId="19" fillId="5" borderId="27" applyAlignment="1" pivotButton="0" quotePrefix="0" xfId="0">
      <alignment horizontal="center"/>
    </xf>
    <xf numFmtId="0" fontId="19" fillId="5" borderId="36" applyAlignment="1" pivotButton="0" quotePrefix="0" xfId="0">
      <alignment horizontal="center"/>
    </xf>
    <xf numFmtId="0" fontId="18" fillId="5" borderId="26" applyAlignment="1" pivotButton="0" quotePrefix="0" xfId="0">
      <alignment vertical="center" wrapText="1"/>
    </xf>
    <xf numFmtId="0" fontId="18" fillId="5" borderId="26" applyAlignment="1" pivotButton="0" quotePrefix="0" xfId="0">
      <alignment wrapText="1"/>
    </xf>
    <xf numFmtId="0" fontId="18" fillId="5" borderId="37" pivotButton="0" quotePrefix="0" xfId="0"/>
    <xf numFmtId="0" fontId="18" fillId="5" borderId="29" pivotButton="0" quotePrefix="0" xfId="0"/>
    <xf numFmtId="0" fontId="19" fillId="5" borderId="0" applyAlignment="1" pivotButton="0" quotePrefix="0" xfId="0">
      <alignment horizontal="center"/>
    </xf>
    <xf numFmtId="0" fontId="18" fillId="24" borderId="8" applyAlignment="1" pivotButton="0" quotePrefix="0" xfId="0">
      <alignment horizontal="center" wrapText="1"/>
    </xf>
    <xf numFmtId="0" fontId="18" fillId="24" borderId="9" applyAlignment="1" pivotButton="0" quotePrefix="0" xfId="0">
      <alignment horizontal="center" wrapText="1"/>
    </xf>
    <xf numFmtId="0" fontId="19" fillId="24" borderId="14" applyAlignment="1" pivotButton="0" quotePrefix="0" xfId="0">
      <alignment horizontal="center" wrapText="1"/>
    </xf>
    <xf numFmtId="0" fontId="18" fillId="24" borderId="15" applyAlignment="1" pivotButton="0" quotePrefix="0" xfId="0">
      <alignment horizontal="center" wrapText="1"/>
    </xf>
    <xf numFmtId="0" fontId="18" fillId="24" borderId="1" applyAlignment="1" pivotButton="0" quotePrefix="0" xfId="0">
      <alignment horizontal="center" wrapText="1"/>
    </xf>
    <xf numFmtId="0" fontId="19" fillId="24" borderId="16" applyAlignment="1" pivotButton="0" quotePrefix="0" xfId="0">
      <alignment horizontal="center" wrapText="1"/>
    </xf>
    <xf numFmtId="0" fontId="18" fillId="24" borderId="17" applyAlignment="1" pivotButton="0" quotePrefix="0" xfId="0">
      <alignment horizontal="center" wrapText="1"/>
    </xf>
    <xf numFmtId="0" fontId="18" fillId="24" borderId="18" applyAlignment="1" pivotButton="0" quotePrefix="0" xfId="0">
      <alignment horizontal="center" wrapText="1"/>
    </xf>
    <xf numFmtId="0" fontId="19" fillId="24" borderId="12" applyAlignment="1" pivotButton="0" quotePrefix="0" xfId="0">
      <alignment horizontal="center" wrapText="1"/>
    </xf>
    <xf numFmtId="0" fontId="19" fillId="5" borderId="27" pivotButton="0" quotePrefix="0" xfId="0"/>
    <xf numFmtId="0" fontId="18" fillId="10" borderId="9" applyAlignment="1" pivotButton="0" quotePrefix="0" xfId="0">
      <alignment horizontal="left" vertical="top"/>
    </xf>
    <xf numFmtId="0" fontId="18" fillId="13" borderId="35" applyAlignment="1" pivotButton="0" quotePrefix="0" xfId="0">
      <alignment horizontal="center" wrapText="1"/>
    </xf>
    <xf numFmtId="0" fontId="18" fillId="13" borderId="3" applyAlignment="1" pivotButton="0" quotePrefix="0" xfId="0">
      <alignment horizontal="center" wrapText="1"/>
    </xf>
    <xf numFmtId="0" fontId="18" fillId="10" borderId="18" applyAlignment="1" pivotButton="0" quotePrefix="0" xfId="0">
      <alignment horizontal="left" vertical="top"/>
    </xf>
    <xf numFmtId="0" fontId="18" fillId="13" borderId="32" applyAlignment="1" pivotButton="0" quotePrefix="0" xfId="0">
      <alignment horizontal="center" wrapText="1"/>
    </xf>
    <xf numFmtId="0" fontId="19" fillId="5" borderId="36" pivotButton="0" quotePrefix="0" xfId="0"/>
    <xf numFmtId="0" fontId="19" fillId="0" borderId="0" pivotButton="0" quotePrefix="0" xfId="0"/>
    <xf numFmtId="0" fontId="18" fillId="0" borderId="0" applyAlignment="1" pivotButton="0" quotePrefix="0" xfId="0">
      <alignment vertical="center"/>
    </xf>
    <xf numFmtId="0" fontId="13" fillId="5" borderId="0" applyAlignment="1" pivotButton="0" quotePrefix="0" xfId="0">
      <alignment vertical="center"/>
    </xf>
    <xf numFmtId="9" fontId="6" fillId="7" borderId="1" applyAlignment="1" pivotButton="0" quotePrefix="0" xfId="0">
      <alignment horizontal="center" vertical="center" wrapText="1"/>
    </xf>
    <xf numFmtId="164" fontId="20" fillId="6" borderId="11" applyAlignment="1" pivotButton="0" quotePrefix="0" xfId="0">
      <alignment horizontal="center" vertical="center"/>
    </xf>
    <xf numFmtId="164" fontId="20" fillId="6" borderId="6" applyAlignment="1" pivotButton="0" quotePrefix="0" xfId="0">
      <alignment horizontal="center" vertical="center"/>
    </xf>
    <xf numFmtId="164" fontId="20" fillId="6" borderId="42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 wrapText="1"/>
    </xf>
    <xf numFmtId="0" fontId="6" fillId="23" borderId="0" applyAlignment="1" pivotButton="0" quotePrefix="0" xfId="0">
      <alignment horizontal="center" vertical="center" wrapText="1"/>
    </xf>
    <xf numFmtId="164" fontId="13" fillId="6" borderId="6" applyAlignment="1" pivotButton="0" quotePrefix="0" xfId="0">
      <alignment horizontal="center" vertical="center" wrapText="1"/>
    </xf>
    <xf numFmtId="164" fontId="13" fillId="6" borderId="7" applyAlignment="1" pivotButton="0" quotePrefix="0" xfId="0">
      <alignment horizontal="center" vertical="center" wrapText="1"/>
    </xf>
    <xf numFmtId="1" fontId="3" fillId="4" borderId="1" applyAlignment="1" pivotButton="0" quotePrefix="0" xfId="0">
      <alignment vertical="center"/>
    </xf>
    <xf numFmtId="49" fontId="4" fillId="4" borderId="2" applyAlignment="1" pivotButton="0" quotePrefix="0" xfId="1">
      <alignment horizontal="left" vertical="center"/>
    </xf>
    <xf numFmtId="49" fontId="4" fillId="4" borderId="3" applyAlignment="1" pivotButton="0" quotePrefix="0" xfId="1">
      <alignment horizontal="left" vertical="center"/>
    </xf>
    <xf numFmtId="0" fontId="4" fillId="4" borderId="2" applyAlignment="1" pivotButton="0" quotePrefix="0" xfId="1">
      <alignment horizontal="left" vertical="center"/>
    </xf>
    <xf numFmtId="0" fontId="4" fillId="4" borderId="3" applyAlignment="1" pivotButton="0" quotePrefix="0" xfId="1">
      <alignment horizontal="left" vertical="center"/>
    </xf>
    <xf numFmtId="0" fontId="18" fillId="10" borderId="8" applyAlignment="1" pivotButton="0" quotePrefix="0" xfId="0">
      <alignment horizontal="center" vertical="center" wrapText="1"/>
    </xf>
    <xf numFmtId="0" fontId="18" fillId="10" borderId="15" applyAlignment="1" pivotButton="0" quotePrefix="0" xfId="0">
      <alignment horizontal="center" vertical="center" wrapText="1"/>
    </xf>
    <xf numFmtId="0" fontId="18" fillId="10" borderId="17" applyAlignment="1" pivotButton="0" quotePrefix="0" xfId="0">
      <alignment horizontal="center" vertical="center" wrapText="1"/>
    </xf>
    <xf numFmtId="0" fontId="18" fillId="10" borderId="9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0" borderId="18" applyAlignment="1" pivotButton="0" quotePrefix="0" xfId="0">
      <alignment horizontal="center" vertical="center" wrapText="1"/>
    </xf>
    <xf numFmtId="0" fontId="18" fillId="5" borderId="9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8" fillId="5" borderId="18" applyAlignment="1" pivotButton="0" quotePrefix="0" xfId="0">
      <alignment horizontal="center" vertical="center" wrapText="1"/>
    </xf>
    <xf numFmtId="164" fontId="20" fillId="6" borderId="9" applyAlignment="1" pivotButton="0" quotePrefix="0" xfId="0">
      <alignment horizontal="center" vertical="center"/>
    </xf>
    <xf numFmtId="164" fontId="20" fillId="6" borderId="6" applyAlignment="1" pivotButton="0" quotePrefix="0" xfId="0">
      <alignment horizontal="center" vertical="center"/>
    </xf>
    <xf numFmtId="164" fontId="20" fillId="6" borderId="31" applyAlignment="1" pivotButton="0" quotePrefix="0" xfId="0">
      <alignment horizontal="center" vertical="center"/>
    </xf>
    <xf numFmtId="164" fontId="20" fillId="6" borderId="13" applyAlignment="1" pivotButton="0" quotePrefix="0" xfId="0">
      <alignment horizontal="center" vertical="center"/>
    </xf>
    <xf numFmtId="164" fontId="20" fillId="6" borderId="28" applyAlignment="1" pivotButton="0" quotePrefix="0" xfId="0">
      <alignment horizontal="center" vertical="center"/>
    </xf>
    <xf numFmtId="164" fontId="20" fillId="6" borderId="47" applyAlignment="1" pivotButton="0" quotePrefix="0" xfId="0">
      <alignment horizontal="center" vertical="center"/>
    </xf>
    <xf numFmtId="164" fontId="20" fillId="6" borderId="0" applyAlignment="1" pivotButton="0" quotePrefix="0" xfId="0">
      <alignment horizontal="center" vertical="center"/>
    </xf>
    <xf numFmtId="164" fontId="20" fillId="6" borderId="48" applyAlignment="1" pivotButton="0" quotePrefix="0" xfId="0">
      <alignment horizontal="center" vertical="center"/>
    </xf>
    <xf numFmtId="0" fontId="18" fillId="5" borderId="33" applyAlignment="1" pivotButton="0" quotePrefix="0" xfId="0">
      <alignment horizontal="center" wrapText="1"/>
    </xf>
    <xf numFmtId="0" fontId="18" fillId="5" borderId="21" applyAlignment="1" pivotButton="0" quotePrefix="0" xfId="0">
      <alignment horizontal="center" wrapText="1"/>
    </xf>
    <xf numFmtId="0" fontId="18" fillId="5" borderId="10" applyAlignment="1" pivotButton="0" quotePrefix="0" xfId="0">
      <alignment horizontal="center" wrapText="1"/>
    </xf>
    <xf numFmtId="0" fontId="18" fillId="5" borderId="2" applyAlignment="1" pivotButton="0" quotePrefix="0" xfId="0">
      <alignment horizontal="center" wrapText="1"/>
    </xf>
    <xf numFmtId="0" fontId="18" fillId="5" borderId="5" applyAlignment="1" pivotButton="0" quotePrefix="0" xfId="0">
      <alignment horizontal="center" wrapText="1"/>
    </xf>
    <xf numFmtId="0" fontId="18" fillId="5" borderId="38" applyAlignment="1" pivotButton="0" quotePrefix="0" xfId="0">
      <alignment horizontal="center" wrapText="1"/>
    </xf>
    <xf numFmtId="0" fontId="18" fillId="5" borderId="20" applyAlignment="1" pivotButton="0" quotePrefix="0" xfId="0">
      <alignment horizontal="center" wrapText="1"/>
    </xf>
    <xf numFmtId="0" fontId="18" fillId="5" borderId="39" applyAlignment="1" pivotButton="0" quotePrefix="0" xfId="0">
      <alignment horizontal="center" wrapText="1"/>
    </xf>
    <xf numFmtId="0" fontId="18" fillId="5" borderId="40" applyAlignment="1" pivotButton="0" quotePrefix="0" xfId="0">
      <alignment horizontal="center" wrapText="1"/>
    </xf>
    <xf numFmtId="0" fontId="18" fillId="5" borderId="24" applyAlignment="1" pivotButton="0" quotePrefix="0" xfId="0">
      <alignment horizontal="center" vertical="center" wrapText="1"/>
    </xf>
    <xf numFmtId="0" fontId="18" fillId="5" borderId="30" applyAlignment="1" pivotButton="0" quotePrefix="0" xfId="0">
      <alignment horizontal="center" vertical="center" wrapText="1"/>
    </xf>
    <xf numFmtId="0" fontId="18" fillId="5" borderId="26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left" vertical="center"/>
    </xf>
    <xf numFmtId="0" fontId="24" fillId="18" borderId="8" applyAlignment="1" pivotButton="0" quotePrefix="0" xfId="0">
      <alignment horizontal="center" wrapText="1"/>
    </xf>
    <xf numFmtId="0" fontId="24" fillId="18" borderId="9" applyAlignment="1" pivotButton="0" quotePrefix="0" xfId="0">
      <alignment horizontal="center" wrapText="1"/>
    </xf>
    <xf numFmtId="0" fontId="24" fillId="18" borderId="14" applyAlignment="1" pivotButton="0" quotePrefix="0" xfId="0">
      <alignment horizontal="center" wrapText="1"/>
    </xf>
    <xf numFmtId="164" fontId="20" fillId="6" borderId="35" applyAlignment="1" pivotButton="0" quotePrefix="0" xfId="0">
      <alignment horizontal="center" vertical="center"/>
    </xf>
    <xf numFmtId="164" fontId="20" fillId="6" borderId="42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 wrapText="1"/>
    </xf>
    <xf numFmtId="0" fontId="18" fillId="0" borderId="3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center" vertical="center" wrapText="1"/>
    </xf>
    <xf numFmtId="0" fontId="18" fillId="10" borderId="25" applyAlignment="1" pivotButton="0" quotePrefix="0" xfId="0">
      <alignment horizontal="center" vertical="center" wrapText="1"/>
    </xf>
    <xf numFmtId="0" fontId="18" fillId="10" borderId="51" applyAlignment="1" pivotButton="0" quotePrefix="0" xfId="0">
      <alignment horizontal="center" vertical="center" wrapText="1"/>
    </xf>
    <xf numFmtId="0" fontId="18" fillId="10" borderId="23" applyAlignment="1" pivotButton="0" quotePrefix="0" xfId="0">
      <alignment horizontal="center" vertical="center" wrapText="1"/>
    </xf>
    <xf numFmtId="0" fontId="18" fillId="10" borderId="24" applyAlignment="1" pivotButton="0" quotePrefix="0" xfId="0">
      <alignment horizontal="center" vertical="center" wrapText="1"/>
    </xf>
    <xf numFmtId="0" fontId="18" fillId="10" borderId="30" applyAlignment="1" pivotButton="0" quotePrefix="0" xfId="0">
      <alignment horizontal="center" vertical="center" wrapText="1"/>
    </xf>
    <xf numFmtId="0" fontId="18" fillId="10" borderId="26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 wrapText="1"/>
    </xf>
    <xf numFmtId="0" fontId="20" fillId="12" borderId="17" applyAlignment="1" pivotButton="0" quotePrefix="0" xfId="0">
      <alignment horizontal="center" vertical="center" wrapText="1"/>
    </xf>
    <xf numFmtId="0" fontId="20" fillId="12" borderId="18" applyAlignment="1" pivotButton="0" quotePrefix="0" xfId="0">
      <alignment horizontal="center" vertical="center" wrapText="1"/>
    </xf>
    <xf numFmtId="164" fontId="20" fillId="6" borderId="8" applyAlignment="1" pivotButton="0" quotePrefix="0" xfId="0">
      <alignment horizontal="center" vertical="center"/>
    </xf>
    <xf numFmtId="164" fontId="20" fillId="6" borderId="11" applyAlignment="1" pivotButton="0" quotePrefix="0" xfId="0">
      <alignment horizontal="center" vertical="center"/>
    </xf>
    <xf numFmtId="164" fontId="20" fillId="6" borderId="1" applyAlignment="1" pivotButton="0" quotePrefix="0" xfId="0">
      <alignment horizontal="center" vertical="center"/>
    </xf>
    <xf numFmtId="164" fontId="20" fillId="6" borderId="12" applyAlignment="1" pivotButton="0" quotePrefix="0" xfId="0">
      <alignment horizontal="center" vertical="center"/>
    </xf>
    <xf numFmtId="0" fontId="22" fillId="16" borderId="15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center" vertical="center" wrapText="1"/>
    </xf>
    <xf numFmtId="164" fontId="20" fillId="6" borderId="15" applyAlignment="1" pivotButton="0" quotePrefix="0" xfId="0">
      <alignment horizontal="center" vertical="center"/>
    </xf>
    <xf numFmtId="0" fontId="20" fillId="11" borderId="9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wrapText="1"/>
    </xf>
    <xf numFmtId="164" fontId="20" fillId="6" borderId="49" applyAlignment="1" pivotButton="0" quotePrefix="0" xfId="0">
      <alignment horizontal="center" vertical="center" wrapText="1"/>
    </xf>
    <xf numFmtId="164" fontId="20" fillId="6" borderId="13" applyAlignment="1" pivotButton="0" quotePrefix="0" xfId="0">
      <alignment horizontal="center" vertical="center" wrapText="1"/>
    </xf>
    <xf numFmtId="164" fontId="20" fillId="6" borderId="28" applyAlignment="1" pivotButton="0" quotePrefix="0" xfId="0">
      <alignment horizontal="center" vertical="center" wrapText="1"/>
    </xf>
    <xf numFmtId="0" fontId="22" fillId="16" borderId="41" applyAlignment="1" pivotButton="0" quotePrefix="0" xfId="0">
      <alignment horizontal="center" vertical="center" wrapText="1"/>
    </xf>
    <xf numFmtId="0" fontId="22" fillId="16" borderId="42" applyAlignment="1" pivotButton="0" quotePrefix="0" xfId="0">
      <alignment horizontal="center" vertical="center" wrapText="1"/>
    </xf>
    <xf numFmtId="0" fontId="22" fillId="16" borderId="43" applyAlignment="1" pivotButton="0" quotePrefix="0" xfId="0">
      <alignment horizontal="center" vertical="center" wrapText="1"/>
    </xf>
    <xf numFmtId="0" fontId="22" fillId="16" borderId="44" applyAlignment="1" pivotButton="0" quotePrefix="0" xfId="0">
      <alignment horizontal="center" vertical="center" wrapText="1"/>
    </xf>
    <xf numFmtId="0" fontId="22" fillId="16" borderId="45" applyAlignment="1" pivotButton="0" quotePrefix="0" xfId="0">
      <alignment horizontal="center" vertical="center" wrapText="1"/>
    </xf>
    <xf numFmtId="0" fontId="22" fillId="16" borderId="46" applyAlignment="1" pivotButton="0" quotePrefix="0" xfId="0">
      <alignment horizontal="center" vertical="center" wrapText="1"/>
    </xf>
    <xf numFmtId="164" fontId="13" fillId="6" borderId="6" applyAlignment="1" pivotButton="0" quotePrefix="0" xfId="0">
      <alignment horizontal="center" vertical="center" wrapText="1"/>
    </xf>
    <xf numFmtId="164" fontId="13" fillId="6" borderId="7" applyAlignment="1" pivotButton="0" quotePrefix="0" xfId="0">
      <alignment horizontal="center" vertical="center" wrapText="1"/>
    </xf>
    <xf numFmtId="164" fontId="13" fillId="6" borderId="1" applyAlignment="1" pivotButton="0" quotePrefix="0" xfId="0">
      <alignment horizontal="center" vertical="center" wrapText="1"/>
    </xf>
    <xf numFmtId="0" fontId="14" fillId="9" borderId="42" applyAlignment="1" pivotButton="0" quotePrefix="0" xfId="0">
      <alignment horizontal="center" vertical="center" wrapText="1"/>
    </xf>
    <xf numFmtId="0" fontId="14" fillId="9" borderId="46" applyAlignment="1" pivotButton="0" quotePrefix="0" xfId="0">
      <alignment horizontal="center" vertical="center" wrapText="1"/>
    </xf>
    <xf numFmtId="164" fontId="13" fillId="6" borderId="2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 wrapText="1"/>
    </xf>
    <xf numFmtId="164" fontId="13" fillId="6" borderId="3" applyAlignment="1" pivotButton="0" quotePrefix="0" xfId="0">
      <alignment horizontal="center" vertical="center" wrapText="1"/>
    </xf>
    <xf numFmtId="0" fontId="13" fillId="9" borderId="50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3" fillId="9" borderId="46" applyAlignment="1" pivotButton="0" quotePrefix="0" xfId="0">
      <alignment horizontal="center" vertical="center" wrapText="1"/>
    </xf>
    <xf numFmtId="0" fontId="13" fillId="9" borderId="50" applyAlignment="1" pivotButton="0" quotePrefix="0" xfId="0">
      <alignment horizontal="center" vertical="center"/>
    </xf>
    <xf numFmtId="0" fontId="13" fillId="9" borderId="4" applyAlignment="1" pivotButton="0" quotePrefix="0" xfId="0">
      <alignment horizontal="center" vertical="center"/>
    </xf>
    <xf numFmtId="164" fontId="13" fillId="6" borderId="12" applyAlignment="1" pivotButton="0" quotePrefix="0" xfId="0">
      <alignment horizontal="center" vertical="center" wrapText="1"/>
    </xf>
    <xf numFmtId="0" fontId="6" fillId="23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vertical="center" wrapText="1"/>
    </xf>
    <xf numFmtId="49" fontId="4" fillId="8" borderId="0" applyAlignment="1" pivotButton="0" quotePrefix="0" xfId="0">
      <alignment vertical="center" wrapText="1"/>
    </xf>
    <xf numFmtId="0" fontId="0" fillId="0" borderId="3" pivotButton="0" quotePrefix="0" xfId="0"/>
    <xf numFmtId="49" fontId="4" fillId="4" borderId="1" applyAlignment="1" pivotButton="0" quotePrefix="0" xfId="1">
      <alignment horizontal="left" vertical="center"/>
    </xf>
    <xf numFmtId="0" fontId="4" fillId="4" borderId="1" applyAlignment="1" pivotButton="0" quotePrefix="0" xfId="1">
      <alignment horizontal="left" vertical="center"/>
    </xf>
    <xf numFmtId="164" fontId="20" fillId="6" borderId="54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55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16" pivotButton="0" quotePrefix="0" xfId="0"/>
    <xf numFmtId="164" fontId="20" fillId="6" borderId="58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47" pivotButton="0" quotePrefix="0" xfId="0"/>
    <xf numFmtId="0" fontId="0" fillId="0" borderId="48" pivotButton="0" quotePrefix="0" xfId="0"/>
    <xf numFmtId="0" fontId="18" fillId="5" borderId="14" applyAlignment="1" pivotButton="0" quotePrefix="0" xfId="0">
      <alignment horizontal="center" wrapText="1"/>
    </xf>
    <xf numFmtId="0" fontId="0" fillId="0" borderId="10" pivotButton="0" quotePrefix="0" xfId="0"/>
    <xf numFmtId="0" fontId="0" fillId="0" borderId="51" pivotButton="0" quotePrefix="0" xfId="0"/>
    <xf numFmtId="0" fontId="0" fillId="0" borderId="30" pivotButton="0" quotePrefix="0" xfId="0"/>
    <xf numFmtId="0" fontId="18" fillId="5" borderId="12" applyAlignment="1" pivotButton="0" quotePrefix="0" xfId="0">
      <alignment horizontal="center" wrapText="1"/>
    </xf>
    <xf numFmtId="0" fontId="0" fillId="0" borderId="38" pivotButton="0" quotePrefix="0" xfId="0"/>
    <xf numFmtId="0" fontId="18" fillId="5" borderId="19" applyAlignment="1" pivotButton="0" quotePrefix="0" xfId="0">
      <alignment horizontal="center" wrapText="1"/>
    </xf>
    <xf numFmtId="0" fontId="0" fillId="0" borderId="40" pivotButton="0" quotePrefix="0" xfId="0"/>
    <xf numFmtId="0" fontId="18" fillId="10" borderId="59" applyAlignment="1" pivotButton="0" quotePrefix="0" xfId="0">
      <alignment horizontal="center" vertical="center" wrapText="1"/>
    </xf>
    <xf numFmtId="0" fontId="18" fillId="10" borderId="60" applyAlignment="1" pivotButton="0" quotePrefix="0" xfId="0">
      <alignment horizontal="center" vertical="center" wrapText="1"/>
    </xf>
    <xf numFmtId="0" fontId="18" fillId="0" borderId="6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18" fillId="5" borderId="60" applyAlignment="1" pivotButton="0" quotePrefix="0" xfId="0">
      <alignment horizontal="center" vertical="center" wrapText="1"/>
    </xf>
    <xf numFmtId="0" fontId="13" fillId="9" borderId="7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</author>
  </authors>
  <commentList>
    <comment ref="C4" authorId="0" shapeId="0">
      <text>
        <t>Admin:
Nhập tại đây để thay đổi môi trường cả file</t>
      </text>
    </comment>
    <comment ref="C15" authorId="0" shapeId="0">
      <text>
        <t>Admin:
Nhập tại đây để thay đổi môi trường cả file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228600</colOff>
      <row>0</row>
      <rowOff>95251</rowOff>
    </from>
    <to>
      <col>2</col>
      <colOff>641350</colOff>
      <row>1</row>
      <rowOff>276226</rowOff>
    </to>
    <pic>
      <nvPicPr>
        <cNvPr id="2" name="Picture 1" descr="Logo_Only_blue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28600" y="95251"/>
          <a:ext cx="1419225" cy="6096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opLeftCell="A5" workbookViewId="0">
      <selection activeCell="D1" sqref="D1"/>
    </sheetView>
  </sheetViews>
  <sheetFormatPr baseColWidth="10" defaultColWidth="8.83203125" defaultRowHeight="15"/>
  <cols>
    <col width="4.83203125" customWidth="1" min="1" max="1"/>
    <col width="16" customWidth="1" min="2" max="2"/>
    <col width="9" customWidth="1" min="3" max="3"/>
    <col width="22.33203125" customWidth="1" min="4" max="4"/>
    <col width="9.5" customWidth="1" min="5" max="5"/>
    <col width="18.6640625" customWidth="1" min="6" max="6"/>
    <col width="18.33203125" customWidth="1" min="7" max="7"/>
    <col width="12.83203125" customWidth="1" min="8" max="8"/>
  </cols>
  <sheetData>
    <row r="1" ht="33.75" customHeight="1">
      <c r="A1" s="6" t="n"/>
      <c r="B1" s="1" t="n"/>
      <c r="C1" s="2" t="n"/>
      <c r="D1" s="2" t="inlineStr">
        <is>
          <t xml:space="preserve">       TESTCASE DOCUMENTS</t>
        </is>
      </c>
      <c r="E1" s="2" t="n"/>
      <c r="F1" s="2" t="n"/>
      <c r="G1" s="2" t="n"/>
      <c r="H1" s="3" t="n"/>
    </row>
    <row r="2" ht="33" customHeight="1">
      <c r="A2" s="6" t="n"/>
      <c r="B2" s="1" t="n"/>
      <c r="C2" s="4" t="n"/>
      <c r="D2" s="4" t="n"/>
      <c r="E2" s="4" t="n"/>
      <c r="F2" s="4" t="n"/>
      <c r="G2" s="4" t="n"/>
      <c r="H2" s="3" t="n"/>
    </row>
    <row r="3" ht="16" customHeight="1">
      <c r="A3" s="6" t="n"/>
      <c r="B3" s="187" t="inlineStr">
        <is>
          <t>Project Name:</t>
        </is>
      </c>
      <c r="C3" s="277" t="n"/>
      <c r="D3" s="5" t="inlineStr">
        <is>
          <t>&lt;Nhập tên dự án&gt;A</t>
        </is>
      </c>
      <c r="E3" s="187" t="inlineStr">
        <is>
          <t>Reviewer:</t>
        </is>
      </c>
      <c r="F3" s="277" t="n"/>
      <c r="G3" s="278" t="inlineStr">
        <is>
          <t>HaPT</t>
        </is>
      </c>
      <c r="H3" s="277" t="n"/>
    </row>
    <row r="4" ht="16" customHeight="1">
      <c r="A4" s="6" t="n"/>
      <c r="B4" s="187" t="inlineStr">
        <is>
          <t>Phase:</t>
        </is>
      </c>
      <c r="C4" s="277" t="n"/>
      <c r="D4" s="5" t="inlineStr">
        <is>
          <t>&lt;Nhập phase dự án&gt;3</t>
        </is>
      </c>
      <c r="E4" s="187" t="inlineStr">
        <is>
          <t>Created time (h):</t>
        </is>
      </c>
      <c r="F4" s="277" t="n"/>
      <c r="G4" s="279">
        <f>'Module 1'!E3+#REF!+#REF!+#REF!+#REF!+#REF!+#REF!</f>
        <v/>
      </c>
      <c r="H4" s="277" t="n"/>
    </row>
    <row r="5" ht="33" customHeight="1">
      <c r="A5" s="6" t="n"/>
      <c r="B5" s="1" t="n"/>
      <c r="C5" s="4" t="n"/>
      <c r="D5" s="4" t="n"/>
      <c r="E5" s="4" t="n"/>
      <c r="F5" s="4" t="n"/>
      <c r="G5" s="4" t="n"/>
      <c r="H5" s="3" t="n"/>
    </row>
    <row r="6" ht="16" customHeight="1">
      <c r="A6" s="6" t="n"/>
      <c r="B6" s="7" t="inlineStr">
        <is>
          <t>Record of change:</t>
        </is>
      </c>
      <c r="C6" s="6" t="n"/>
      <c r="D6" s="6" t="n"/>
      <c r="E6" s="6" t="n"/>
      <c r="F6" s="6" t="n"/>
      <c r="G6" s="6" t="n"/>
      <c r="H6" s="8" t="inlineStr">
        <is>
          <t xml:space="preserve"> (*) A (Add), M (Modify), D (Delete)</t>
        </is>
      </c>
    </row>
    <row r="7" ht="34" customHeight="1">
      <c r="A7" s="6" t="n"/>
      <c r="B7" s="9" t="inlineStr">
        <is>
          <t>Date</t>
        </is>
      </c>
      <c r="C7" s="9" t="inlineStr">
        <is>
          <t>Version</t>
        </is>
      </c>
      <c r="D7" s="9" t="inlineStr">
        <is>
          <t>Change Description</t>
        </is>
      </c>
      <c r="E7" s="9" t="inlineStr">
        <is>
          <t>A, D, M (*)</t>
        </is>
      </c>
      <c r="F7" s="9" t="inlineStr">
        <is>
          <t>Change item</t>
        </is>
      </c>
      <c r="G7" s="9" t="inlineStr">
        <is>
          <t>Reference</t>
        </is>
      </c>
      <c r="H7" s="9" t="inlineStr">
        <is>
          <t>PIC</t>
        </is>
      </c>
    </row>
    <row r="8" ht="16" customHeight="1">
      <c r="A8" s="6" t="n"/>
      <c r="B8" s="10" t="n"/>
      <c r="C8" s="11" t="n"/>
      <c r="D8" s="12" t="n"/>
      <c r="E8" s="13" t="n"/>
      <c r="F8" s="14" t="n"/>
      <c r="G8" s="10" t="n"/>
      <c r="H8" s="15" t="n"/>
    </row>
    <row r="9" ht="16" customHeight="1">
      <c r="A9" s="6" t="n"/>
      <c r="B9" s="16" t="n"/>
      <c r="C9" s="11" t="n"/>
      <c r="D9" s="12" t="n"/>
      <c r="E9" s="13" t="n"/>
      <c r="F9" s="14" t="n"/>
      <c r="G9" s="17" t="n"/>
      <c r="H9" s="15" t="n"/>
    </row>
    <row r="10" ht="16" customHeight="1">
      <c r="A10" s="6" t="n"/>
      <c r="B10" s="16" t="n"/>
      <c r="C10" s="11" t="n"/>
      <c r="D10" s="12" t="n"/>
      <c r="E10" s="13" t="n"/>
      <c r="F10" s="14" t="n"/>
      <c r="G10" s="17" t="n"/>
      <c r="H10" s="15" t="n"/>
    </row>
    <row r="11" ht="16" customHeight="1">
      <c r="A11" s="6" t="n"/>
      <c r="B11" s="16" t="n"/>
      <c r="C11" s="11" t="n"/>
      <c r="D11" s="12" t="n"/>
      <c r="E11" s="13" t="n"/>
      <c r="F11" s="14" t="n"/>
      <c r="G11" s="17" t="n"/>
      <c r="H11" s="15" t="n"/>
    </row>
    <row r="12" ht="16" customHeight="1">
      <c r="A12" s="6" t="n"/>
      <c r="B12" s="16" t="n"/>
      <c r="C12" s="11" t="n"/>
      <c r="D12" s="12" t="n"/>
      <c r="E12" s="13" t="n"/>
      <c r="F12" s="14" t="n"/>
      <c r="G12" s="17" t="n"/>
      <c r="H12" s="15" t="n"/>
    </row>
    <row r="13" ht="16" customHeight="1">
      <c r="A13" s="6" t="n"/>
      <c r="B13" s="16" t="n"/>
      <c r="C13" s="11" t="n"/>
      <c r="D13" s="12" t="n"/>
      <c r="E13" s="13" t="n"/>
      <c r="F13" s="14" t="n"/>
      <c r="G13" s="17" t="n"/>
      <c r="H13" s="15" t="n"/>
    </row>
    <row r="14" ht="16" customHeight="1">
      <c r="A14" s="6" t="n"/>
      <c r="B14" s="16" t="n"/>
      <c r="C14" s="11" t="n"/>
      <c r="D14" s="12" t="n"/>
      <c r="E14" s="13" t="n"/>
      <c r="F14" s="14" t="n"/>
      <c r="G14" s="17" t="n"/>
      <c r="H14" s="15" t="n"/>
    </row>
    <row r="15" ht="16" customHeight="1">
      <c r="A15" s="6" t="n"/>
      <c r="B15" s="16" t="n"/>
      <c r="C15" s="11" t="n"/>
      <c r="D15" s="12" t="n"/>
      <c r="E15" s="13" t="n"/>
      <c r="F15" s="14" t="n"/>
      <c r="G15" s="17" t="n"/>
      <c r="H15" s="15" t="n"/>
    </row>
    <row r="16" ht="16" customHeight="1">
      <c r="A16" s="6" t="n"/>
      <c r="B16" s="16" t="n"/>
      <c r="C16" s="11" t="n"/>
      <c r="D16" s="12" t="n"/>
      <c r="E16" s="13" t="n"/>
      <c r="F16" s="14" t="n"/>
      <c r="G16" s="17" t="n"/>
      <c r="H16" s="15" t="n"/>
    </row>
    <row r="17" ht="16" customHeight="1">
      <c r="A17" s="6" t="n"/>
      <c r="B17" s="16" t="n"/>
      <c r="C17" s="11" t="n"/>
      <c r="D17" s="12" t="n"/>
      <c r="E17" s="13" t="n"/>
      <c r="F17" s="14" t="n"/>
      <c r="G17" s="17" t="n"/>
      <c r="H17" s="15" t="n"/>
    </row>
    <row r="18" ht="16" customHeight="1">
      <c r="A18" s="6" t="n"/>
      <c r="B18" s="16" t="n"/>
      <c r="C18" s="11" t="n"/>
      <c r="D18" s="12" t="n"/>
      <c r="E18" s="13" t="n"/>
      <c r="F18" s="14" t="n"/>
      <c r="G18" s="17" t="n"/>
      <c r="H18" s="15" t="n"/>
    </row>
    <row r="19" ht="16" customHeight="1">
      <c r="A19" s="6" t="n"/>
      <c r="B19" s="6" t="n"/>
      <c r="C19" s="6" t="n"/>
      <c r="D19" s="6" t="n"/>
      <c r="E19" s="6" t="n"/>
      <c r="F19" s="6" t="n"/>
      <c r="G19" s="6" t="n"/>
      <c r="H19" s="3" t="n"/>
    </row>
    <row r="20" ht="16" customHeight="1">
      <c r="A20" s="6" t="n"/>
      <c r="B20" s="6" t="n"/>
      <c r="C20" s="6" t="n"/>
      <c r="D20" s="6" t="n"/>
      <c r="E20" s="6" t="n"/>
      <c r="F20" s="6" t="n"/>
      <c r="G20" s="6" t="n"/>
      <c r="H20" s="3" t="n"/>
    </row>
    <row r="21" ht="16" customHeight="1">
      <c r="A21" s="6" t="n"/>
      <c r="B21" s="6" t="n"/>
      <c r="C21" s="6" t="n"/>
      <c r="D21" s="6" t="n"/>
      <c r="E21" s="6" t="n"/>
      <c r="F21" s="6" t="n"/>
      <c r="G21" s="6" t="n"/>
      <c r="H21" s="3" t="n"/>
    </row>
    <row r="22" ht="16" customHeight="1">
      <c r="A22" s="6" t="n"/>
      <c r="B22" s="6" t="n"/>
      <c r="C22" s="6" t="n"/>
      <c r="D22" s="6" t="n"/>
      <c r="E22" s="6" t="n"/>
      <c r="F22" s="6" t="n"/>
      <c r="G22" s="6" t="n"/>
      <c r="H22" s="3" t="n"/>
    </row>
    <row r="23" ht="16" customHeight="1">
      <c r="A23" s="6" t="n"/>
      <c r="B23" s="6" t="n"/>
      <c r="C23" s="6" t="n"/>
      <c r="D23" s="6" t="n"/>
      <c r="E23" s="6" t="n"/>
      <c r="F23" s="6" t="n"/>
      <c r="G23" s="6" t="n"/>
      <c r="H23" s="3" t="n"/>
    </row>
    <row r="24" ht="16" customHeight="1">
      <c r="A24" s="6" t="n"/>
      <c r="B24" s="6" t="n"/>
      <c r="C24" s="6" t="n"/>
      <c r="D24" s="6" t="n"/>
      <c r="E24" s="6" t="n"/>
      <c r="F24" s="6" t="n"/>
      <c r="G24" s="6" t="n"/>
      <c r="H24" s="3" t="n"/>
    </row>
    <row r="25" ht="16" customHeight="1">
      <c r="A25" s="6" t="n"/>
      <c r="B25" s="6" t="n"/>
      <c r="C25" s="6" t="n"/>
      <c r="D25" s="6" t="n"/>
      <c r="E25" s="6" t="n"/>
      <c r="F25" s="6" t="n"/>
      <c r="G25" s="6" t="n"/>
      <c r="H25" s="3" t="n"/>
    </row>
    <row r="26" ht="16" customHeight="1">
      <c r="A26" s="6" t="n"/>
      <c r="B26" s="6" t="n"/>
      <c r="C26" s="6" t="n"/>
      <c r="D26" s="6" t="n"/>
      <c r="E26" s="6" t="n"/>
      <c r="F26" s="6" t="n"/>
      <c r="G26" s="6" t="n"/>
      <c r="H26" s="3" t="n"/>
    </row>
  </sheetData>
  <mergeCells count="6">
    <mergeCell ref="G4:H4"/>
    <mergeCell ref="E4:F4"/>
    <mergeCell ref="B3:C3"/>
    <mergeCell ref="G3:H3"/>
    <mergeCell ref="B4:C4"/>
    <mergeCell ref="E3:F3"/>
  </mergeCells>
  <pageMargins left="0.7" right="0.7" top="0.75" bottom="0.75" header="0.3" footer="0.3"/>
  <pageSetup orientation="landscape"/>
  <headerFooter>
    <oddHeader/>
    <oddFooter>&amp;L&amp;"Calibri,Regular"&amp;K000000TPL-QA-01-04/V1.2&amp;C&amp;"Calibri,Regular"&amp;K000000Tài liệu lưu hành nội bộ&amp;R&amp;"Times New Roman,Regular"&amp;13 &amp;K000000&amp;P/&amp;N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90"/>
  <sheetViews>
    <sheetView zoomScale="130" zoomScaleNormal="130" zoomScalePageLayoutView="180" workbookViewId="0">
      <selection activeCell="C11" sqref="C11"/>
    </sheetView>
  </sheetViews>
  <sheetFormatPr baseColWidth="10" defaultColWidth="8.6640625" defaultRowHeight="10"/>
  <cols>
    <col width="3.33203125" customWidth="1" style="53" min="1" max="1"/>
    <col width="8.6640625" customWidth="1" style="53" min="2" max="2"/>
    <col width="6" customWidth="1" style="53" min="3" max="3"/>
    <col width="5" customWidth="1" style="53" min="4" max="7"/>
    <col width="5" customWidth="1" style="176" min="8" max="8"/>
    <col width="5" customWidth="1" style="53" min="9" max="12"/>
    <col width="5" customWidth="1" style="176" min="13" max="13"/>
    <col width="5" customWidth="1" style="53" min="14" max="17"/>
    <col width="5" customWidth="1" style="176" min="18" max="19"/>
    <col width="5" customWidth="1" style="177" min="20" max="20"/>
    <col width="9.1640625" customWidth="1" style="53" min="21" max="21"/>
    <col width="5" customWidth="1" style="53" min="22" max="24"/>
    <col width="8.6640625" customWidth="1" style="53" min="25" max="16384"/>
  </cols>
  <sheetData>
    <row r="1" ht="11" customFormat="1" customHeight="1" s="49" thickBot="1">
      <c r="H1" s="50" t="n"/>
      <c r="M1" s="50" t="n"/>
      <c r="R1" s="50" t="n"/>
      <c r="S1" s="50" t="n"/>
      <c r="T1" s="51" t="n"/>
    </row>
    <row r="2" ht="31.5" customHeight="1">
      <c r="A2" s="52" t="n"/>
      <c r="B2" s="52" t="n"/>
      <c r="C2" s="52" t="n"/>
      <c r="D2" s="280" t="inlineStr">
        <is>
          <t>Round 1</t>
        </is>
      </c>
      <c r="E2" s="281" t="n"/>
      <c r="F2" s="281" t="n"/>
      <c r="G2" s="281" t="n"/>
      <c r="H2" s="281" t="n"/>
      <c r="I2" s="281" t="n"/>
      <c r="J2" s="282" t="n"/>
      <c r="K2" s="280" t="inlineStr">
        <is>
          <t>Round 2</t>
        </is>
      </c>
      <c r="L2" s="281" t="n"/>
      <c r="M2" s="281" t="n"/>
      <c r="N2" s="281" t="n"/>
      <c r="O2" s="281" t="n"/>
      <c r="P2" s="281" t="n"/>
      <c r="Q2" s="282" t="n"/>
      <c r="R2" s="280" t="inlineStr">
        <is>
          <t>Round 3</t>
        </is>
      </c>
      <c r="S2" s="281" t="n"/>
      <c r="T2" s="281" t="n"/>
      <c r="U2" s="281" t="n"/>
      <c r="V2" s="281" t="n"/>
      <c r="W2" s="281" t="n"/>
      <c r="X2" s="282" t="n"/>
    </row>
    <row r="3" ht="31.5" customHeight="1">
      <c r="A3" s="54" t="inlineStr">
        <is>
          <t>General statistic</t>
        </is>
      </c>
      <c r="B3" s="52" t="n"/>
      <c r="C3" s="52" t="n"/>
      <c r="D3" s="55" t="inlineStr">
        <is>
          <t>Pass</t>
        </is>
      </c>
      <c r="E3" s="56" t="inlineStr">
        <is>
          <t>Fail</t>
        </is>
      </c>
      <c r="F3" s="56" t="inlineStr">
        <is>
          <t>Untested</t>
        </is>
      </c>
      <c r="G3" s="56" t="inlineStr">
        <is>
          <t>Rejected</t>
        </is>
      </c>
      <c r="H3" s="56" t="inlineStr">
        <is>
          <t>Total</t>
        </is>
      </c>
      <c r="I3" s="56" t="inlineStr">
        <is>
          <t>% coverage</t>
        </is>
      </c>
      <c r="J3" s="57" t="inlineStr">
        <is>
          <t>Pass coverage</t>
        </is>
      </c>
      <c r="K3" s="55" t="inlineStr">
        <is>
          <t>Pass</t>
        </is>
      </c>
      <c r="L3" s="56" t="inlineStr">
        <is>
          <t>Fail</t>
        </is>
      </c>
      <c r="M3" s="56" t="inlineStr">
        <is>
          <t>Untested</t>
        </is>
      </c>
      <c r="N3" s="56" t="inlineStr">
        <is>
          <t>Rejected</t>
        </is>
      </c>
      <c r="O3" s="56" t="inlineStr">
        <is>
          <t>Total</t>
        </is>
      </c>
      <c r="P3" s="56" t="inlineStr">
        <is>
          <t>% coverage</t>
        </is>
      </c>
      <c r="Q3" s="57" t="inlineStr">
        <is>
          <t>Pass coverage</t>
        </is>
      </c>
      <c r="R3" s="55" t="inlineStr">
        <is>
          <t>Pass</t>
        </is>
      </c>
      <c r="S3" s="56" t="inlineStr">
        <is>
          <t>Fail</t>
        </is>
      </c>
      <c r="T3" s="56" t="inlineStr">
        <is>
          <t>Untested</t>
        </is>
      </c>
      <c r="U3" s="56" t="inlineStr">
        <is>
          <t>Rejected</t>
        </is>
      </c>
      <c r="V3" s="56" t="inlineStr">
        <is>
          <t>Total</t>
        </is>
      </c>
      <c r="W3" s="56" t="inlineStr">
        <is>
          <t>% coverage</t>
        </is>
      </c>
      <c r="X3" s="57" t="inlineStr">
        <is>
          <t>Pass coverage</t>
        </is>
      </c>
    </row>
    <row r="4" ht="31.5" customHeight="1">
      <c r="A4" s="245" t="inlineStr">
        <is>
          <t>Environment</t>
        </is>
      </c>
      <c r="B4" s="283" t="n"/>
      <c r="C4" s="58" t="inlineStr">
        <is>
          <t>ENV 1A</t>
        </is>
      </c>
      <c r="D4" s="59">
        <f>D15+I15+N15</f>
        <v/>
      </c>
      <c r="E4" s="60">
        <f>E15+J15+O15</f>
        <v/>
      </c>
      <c r="F4" s="60">
        <f>F15+K15+P15</f>
        <v/>
      </c>
      <c r="G4" s="60">
        <f>G15+L15+Q15</f>
        <v/>
      </c>
      <c r="H4" s="61">
        <f>H15+M15+R15</f>
        <v/>
      </c>
      <c r="I4" s="62">
        <f>ROUND(100*(D4+E4)/(H4-G4),2)</f>
        <v/>
      </c>
      <c r="J4" s="63">
        <f>ROUND(100*D4/(H4-G4),2)</f>
        <v/>
      </c>
      <c r="K4" s="64">
        <f>D27+I27+N27</f>
        <v/>
      </c>
      <c r="L4" s="65">
        <f>E27+J27+O27</f>
        <v/>
      </c>
      <c r="M4" s="66">
        <f>F27+K27+P27</f>
        <v/>
      </c>
      <c r="N4" s="65">
        <f>G27+L27+Q27</f>
        <v/>
      </c>
      <c r="O4" s="65">
        <f>H27+M27+R27</f>
        <v/>
      </c>
      <c r="P4" s="67">
        <f>ROUND(100*(K4+L4)/(O4-N4),2)</f>
        <v/>
      </c>
      <c r="Q4" s="68">
        <f>ROUND(100*K4/(O4-N4),2)</f>
        <v/>
      </c>
      <c r="R4" s="69">
        <f>D39+I39+N39</f>
        <v/>
      </c>
      <c r="S4" s="70">
        <f>E39+J39+O39</f>
        <v/>
      </c>
      <c r="T4" s="70">
        <f>F39+K39+P39</f>
        <v/>
      </c>
      <c r="U4" s="70">
        <f>G39+L39+Q39</f>
        <v/>
      </c>
      <c r="V4" s="70">
        <f>H39+M39+R39</f>
        <v/>
      </c>
      <c r="W4" s="71">
        <f>ROUND(100*(R4+S4)/(V4-U4),2)</f>
        <v/>
      </c>
      <c r="X4" s="72">
        <f>ROUND(100*R4/(V4-U4),2)</f>
        <v/>
      </c>
    </row>
    <row r="5" ht="31.5" customHeight="1">
      <c r="A5" s="284" t="n"/>
      <c r="B5" s="285" t="n"/>
      <c r="C5" s="58" t="inlineStr">
        <is>
          <t>ENV 2B</t>
        </is>
      </c>
      <c r="D5" s="59">
        <f>D16+I16+N16</f>
        <v/>
      </c>
      <c r="E5" s="60">
        <f>E16+J16+O16</f>
        <v/>
      </c>
      <c r="F5" s="60">
        <f>F16+K16+P16</f>
        <v/>
      </c>
      <c r="G5" s="60">
        <f>G16+L16+Q16</f>
        <v/>
      </c>
      <c r="H5" s="61">
        <f>H16+M16+R16</f>
        <v/>
      </c>
      <c r="I5" s="62">
        <f>ROUND(100*(D5+E5)/(H5-G5),2)</f>
        <v/>
      </c>
      <c r="J5" s="63">
        <f>ROUND(100*D5/(H5-G5),2)</f>
        <v/>
      </c>
      <c r="K5" s="64">
        <f>D28+I28+N28</f>
        <v/>
      </c>
      <c r="L5" s="65">
        <f>E28+J28+O28</f>
        <v/>
      </c>
      <c r="M5" s="66">
        <f>F28+K28+P28</f>
        <v/>
      </c>
      <c r="N5" s="65">
        <f>G28+L28+Q28</f>
        <v/>
      </c>
      <c r="O5" s="65">
        <f>H28+M28+R28</f>
        <v/>
      </c>
      <c r="P5" s="67">
        <f>ROUND(100*(K5+L5)/(O5-N5),2)</f>
        <v/>
      </c>
      <c r="Q5" s="68">
        <f>ROUND(100*K5/(O5-N5),2)</f>
        <v/>
      </c>
      <c r="R5" s="69">
        <f>D40+I40+N40</f>
        <v/>
      </c>
      <c r="S5" s="70">
        <f>E40+J40+O40</f>
        <v/>
      </c>
      <c r="T5" s="70">
        <f>F40+K40+P40</f>
        <v/>
      </c>
      <c r="U5" s="70">
        <f>G40+L40+Q40</f>
        <v/>
      </c>
      <c r="V5" s="70">
        <f>H40+M40+R40</f>
        <v/>
      </c>
      <c r="W5" s="71">
        <f>ROUND(100*(R5+S5)/(V5-U5),2)</f>
        <v/>
      </c>
      <c r="X5" s="72">
        <f>ROUND(100*R5/(V5-U5),2)</f>
        <v/>
      </c>
    </row>
    <row r="6" ht="31.5" customHeight="1">
      <c r="A6" s="284" t="n"/>
      <c r="B6" s="285" t="n"/>
      <c r="C6" s="58" t="inlineStr">
        <is>
          <t>ENV 3C</t>
        </is>
      </c>
      <c r="D6" s="59">
        <f>D17+I17+N17</f>
        <v/>
      </c>
      <c r="E6" s="60">
        <f>E17+J17+O17</f>
        <v/>
      </c>
      <c r="F6" s="60">
        <f>F17+K17+P17</f>
        <v/>
      </c>
      <c r="G6" s="60">
        <f>G17+L17+Q17</f>
        <v/>
      </c>
      <c r="H6" s="61">
        <f>H17+M17+R17</f>
        <v/>
      </c>
      <c r="I6" s="62">
        <f>ROUND(100*(D6+E6)/(H6-G6),2)</f>
        <v/>
      </c>
      <c r="J6" s="63">
        <f>ROUND(100*D6/(H6-G6),2)</f>
        <v/>
      </c>
      <c r="K6" s="64">
        <f>D29+I29+N29</f>
        <v/>
      </c>
      <c r="L6" s="65">
        <f>E29+J29+O29</f>
        <v/>
      </c>
      <c r="M6" s="66">
        <f>F29+K29+P29</f>
        <v/>
      </c>
      <c r="N6" s="65">
        <f>G29+L29+Q29</f>
        <v/>
      </c>
      <c r="O6" s="65">
        <f>H29+M29+R29</f>
        <v/>
      </c>
      <c r="P6" s="67">
        <f>ROUND(100*(K6+L6)/(O6-N6),2)</f>
        <v/>
      </c>
      <c r="Q6" s="68">
        <f>ROUND(100*K6/(O6-N6),2)</f>
        <v/>
      </c>
      <c r="R6" s="69">
        <f>D41+I41+N41</f>
        <v/>
      </c>
      <c r="S6" s="70">
        <f>E41+J41+O41</f>
        <v/>
      </c>
      <c r="T6" s="70">
        <f>F41+K41+P41</f>
        <v/>
      </c>
      <c r="U6" s="70">
        <f>G41+L41+Q41</f>
        <v/>
      </c>
      <c r="V6" s="70">
        <f>H41+M41+R41</f>
        <v/>
      </c>
      <c r="W6" s="71">
        <f>ROUND(100*(R6+S6)/(V6-U6),2)</f>
        <v/>
      </c>
      <c r="X6" s="72">
        <f>ROUND(100*R6/(V6-U6),2)</f>
        <v/>
      </c>
    </row>
    <row r="7" ht="31.5" customHeight="1">
      <c r="A7" s="284" t="n"/>
      <c r="B7" s="285" t="n"/>
      <c r="C7" s="58" t="inlineStr">
        <is>
          <t>ENV 4D</t>
        </is>
      </c>
      <c r="D7" s="59">
        <f>D18+I18+N18</f>
        <v/>
      </c>
      <c r="E7" s="60">
        <f>E18+J18+O18</f>
        <v/>
      </c>
      <c r="F7" s="60">
        <f>F18+K18+P18</f>
        <v/>
      </c>
      <c r="G7" s="60">
        <f>G18+L18+Q18</f>
        <v/>
      </c>
      <c r="H7" s="61">
        <f>H18+M18+R18</f>
        <v/>
      </c>
      <c r="I7" s="62">
        <f>ROUND(100*(D7+E7)/(H7-G7),2)</f>
        <v/>
      </c>
      <c r="J7" s="63">
        <f>ROUND(100*D7/(H7-G7),2)</f>
        <v/>
      </c>
      <c r="K7" s="64">
        <f>D30+I30+N30</f>
        <v/>
      </c>
      <c r="L7" s="65">
        <f>E30+J30+O30</f>
        <v/>
      </c>
      <c r="M7" s="66">
        <f>F30+K30+P30</f>
        <v/>
      </c>
      <c r="N7" s="65">
        <f>G30+L30+Q30</f>
        <v/>
      </c>
      <c r="O7" s="65">
        <f>H30+M30+R30</f>
        <v/>
      </c>
      <c r="P7" s="67">
        <f>ROUND(100*(K7+L7)/(O7-N7),2)</f>
        <v/>
      </c>
      <c r="Q7" s="68">
        <f>ROUND(100*K7/(O7-N7),2)</f>
        <v/>
      </c>
      <c r="R7" s="69">
        <f>D42+I42+N42</f>
        <v/>
      </c>
      <c r="S7" s="70">
        <f>E42+J42+O42</f>
        <v/>
      </c>
      <c r="T7" s="70">
        <f>F42+K42+P42</f>
        <v/>
      </c>
      <c r="U7" s="70">
        <f>G42+L42+Q42</f>
        <v/>
      </c>
      <c r="V7" s="70">
        <f>H42+M42+R42</f>
        <v/>
      </c>
      <c r="W7" s="71">
        <f>ROUND(100*(R7+S7)/(V7-U7),2)</f>
        <v/>
      </c>
      <c r="X7" s="72">
        <f>ROUND(100*R7/(V7-U7),2)</f>
        <v/>
      </c>
    </row>
    <row r="8" ht="31.5" customHeight="1">
      <c r="A8" s="284" t="n"/>
      <c r="B8" s="285" t="n"/>
      <c r="C8" s="58" t="inlineStr">
        <is>
          <t>ENV 5E</t>
        </is>
      </c>
      <c r="D8" s="59">
        <f>D19+I19+N19</f>
        <v/>
      </c>
      <c r="E8" s="60">
        <f>E19+J19+O19</f>
        <v/>
      </c>
      <c r="F8" s="60">
        <f>F19+K19+P19</f>
        <v/>
      </c>
      <c r="G8" s="60">
        <f>G19+L19+Q19</f>
        <v/>
      </c>
      <c r="H8" s="61">
        <f>H19+M19+R19</f>
        <v/>
      </c>
      <c r="I8" s="62">
        <f>ROUND(100*(D8+E8)/(H8-G8),2)</f>
        <v/>
      </c>
      <c r="J8" s="63">
        <f>ROUND(100*D8/(H8-G8),2)</f>
        <v/>
      </c>
      <c r="K8" s="64">
        <f>D31+I31+N31</f>
        <v/>
      </c>
      <c r="L8" s="65">
        <f>E31+J31+O31</f>
        <v/>
      </c>
      <c r="M8" s="66">
        <f>F31+K31+P31</f>
        <v/>
      </c>
      <c r="N8" s="65">
        <f>G31+L31+Q31</f>
        <v/>
      </c>
      <c r="O8" s="65">
        <f>H31+M31+R31</f>
        <v/>
      </c>
      <c r="P8" s="67">
        <f>ROUND(100*(K8+L8)/(O8-N8),2)</f>
        <v/>
      </c>
      <c r="Q8" s="68">
        <f>ROUND(100*K8/(O8-N8),2)</f>
        <v/>
      </c>
      <c r="R8" s="69">
        <f>D43+I43+N43</f>
        <v/>
      </c>
      <c r="S8" s="70">
        <f>E43+J43+O43</f>
        <v/>
      </c>
      <c r="T8" s="70">
        <f>F43+K43+P43</f>
        <v/>
      </c>
      <c r="U8" s="70">
        <f>G43+L43+Q43</f>
        <v/>
      </c>
      <c r="V8" s="70">
        <f>H43+M43+R43</f>
        <v/>
      </c>
      <c r="W8" s="71">
        <f>ROUND(100*(R8+S8)/(V8-U8),2)</f>
        <v/>
      </c>
      <c r="X8" s="72">
        <f>ROUND(100*R8/(V8-U8),2)</f>
        <v/>
      </c>
    </row>
    <row r="9" ht="31.5" customHeight="1" thickBot="1">
      <c r="A9" s="286" t="n"/>
      <c r="B9" s="287" t="n"/>
      <c r="C9" s="58" t="inlineStr">
        <is>
          <t>ENV 6F</t>
        </is>
      </c>
      <c r="D9" s="73">
        <f>D20+I20+N20</f>
        <v/>
      </c>
      <c r="E9" s="74">
        <f>E20+J20+O20</f>
        <v/>
      </c>
      <c r="F9" s="74">
        <f>F20+K20+P20</f>
        <v/>
      </c>
      <c r="G9" s="74">
        <f>G20+L20+Q20</f>
        <v/>
      </c>
      <c r="H9" s="75">
        <f>H20+M20+R20</f>
        <v/>
      </c>
      <c r="I9" s="76">
        <f>ROUND(100*(D9+E9)/(H9-G9),2)</f>
        <v/>
      </c>
      <c r="J9" s="77">
        <f>ROUND(100*D9/(H9-G9),2)</f>
        <v/>
      </c>
      <c r="K9" s="78">
        <f>D32+I32+N32</f>
        <v/>
      </c>
      <c r="L9" s="79">
        <f>E32+J32+O32</f>
        <v/>
      </c>
      <c r="M9" s="80">
        <f>F32+K32+P32</f>
        <v/>
      </c>
      <c r="N9" s="79">
        <f>G32+L32+Q32</f>
        <v/>
      </c>
      <c r="O9" s="79">
        <f>H32+M32+R32</f>
        <v/>
      </c>
      <c r="P9" s="81">
        <f>ROUND(100*(K9+L9)/(O9-N9),2)</f>
        <v/>
      </c>
      <c r="Q9" s="82">
        <f>ROUND(100*K9/(O9-N9),2)</f>
        <v/>
      </c>
      <c r="R9" s="83">
        <f>D44+I44+N44</f>
        <v/>
      </c>
      <c r="S9" s="84">
        <f>E44+J44+O44</f>
        <v/>
      </c>
      <c r="T9" s="84">
        <f>F44+K44+P44</f>
        <v/>
      </c>
      <c r="U9" s="84">
        <f>G44+L44+Q44</f>
        <v/>
      </c>
      <c r="V9" s="84">
        <f>H44+M44+R44</f>
        <v/>
      </c>
      <c r="W9" s="85">
        <f>ROUND(100*(R9+S9)/(V9-U9),2)</f>
        <v/>
      </c>
      <c r="X9" s="86">
        <f>ROUND(100*R9/(V9-U9),2)</f>
        <v/>
      </c>
    </row>
    <row r="10" ht="31.5" customHeight="1">
      <c r="A10" s="52" t="n"/>
      <c r="B10" s="52" t="n"/>
      <c r="C10" s="52" t="n"/>
      <c r="D10" s="52" t="n"/>
      <c r="E10" s="52" t="n"/>
      <c r="F10" s="52" t="n"/>
      <c r="G10" s="52" t="n"/>
      <c r="H10" s="87" t="n"/>
      <c r="I10" s="52" t="n"/>
      <c r="J10" s="52" t="n"/>
      <c r="K10" s="52" t="n"/>
      <c r="L10" s="52" t="n"/>
      <c r="M10" s="88" t="n"/>
      <c r="N10" s="52" t="n"/>
      <c r="O10" s="52" t="n"/>
      <c r="P10" s="49" t="n"/>
      <c r="Q10" s="49" t="n"/>
      <c r="R10" s="50" t="n"/>
      <c r="S10" s="50" t="n"/>
      <c r="T10" s="51" t="n"/>
      <c r="U10" s="49" t="n"/>
      <c r="V10" s="49" t="n"/>
      <c r="W10" s="49" t="n"/>
    </row>
    <row r="11" ht="31.5" customHeight="1" thickBot="1">
      <c r="A11" s="54" t="inlineStr">
        <is>
          <t>Round base statistic</t>
        </is>
      </c>
      <c r="B11" s="52" t="n"/>
      <c r="C11" s="52" t="n"/>
      <c r="D11" s="52" t="n"/>
      <c r="E11" s="52" t="n"/>
      <c r="F11" s="52" t="n"/>
      <c r="G11" s="52" t="n"/>
      <c r="H11" s="87" t="n"/>
      <c r="I11" s="52" t="n"/>
      <c r="J11" s="52" t="n"/>
      <c r="K11" s="52" t="n"/>
      <c r="L11" s="52" t="n"/>
      <c r="M11" s="88" t="n"/>
      <c r="N11" s="52" t="n"/>
      <c r="O11" s="52" t="n"/>
      <c r="P11" s="49" t="n"/>
      <c r="Q11" s="49" t="n"/>
      <c r="R11" s="50" t="n"/>
      <c r="S11" s="50" t="n"/>
      <c r="T11" s="51" t="n"/>
      <c r="U11" s="49" t="n"/>
      <c r="V11" s="49" t="n"/>
      <c r="W11" s="49" t="n"/>
    </row>
    <row r="12" ht="18.75" customFormat="1" customHeight="1" s="89">
      <c r="A12" s="241" t="inlineStr">
        <is>
          <t>Round 1</t>
        </is>
      </c>
      <c r="B12" s="281" t="n"/>
      <c r="C12" s="288" t="n"/>
      <c r="D12" s="201" t="inlineStr">
        <is>
          <t>Test result</t>
        </is>
      </c>
      <c r="E12" s="289" t="n"/>
      <c r="F12" s="289" t="n"/>
      <c r="G12" s="289" t="n"/>
      <c r="H12" s="289" t="n"/>
      <c r="I12" s="289" t="n"/>
      <c r="J12" s="289" t="n"/>
      <c r="K12" s="289" t="n"/>
      <c r="L12" s="289" t="n"/>
      <c r="M12" s="289" t="n"/>
      <c r="N12" s="289" t="n"/>
      <c r="O12" s="289" t="n"/>
      <c r="P12" s="289" t="n"/>
      <c r="Q12" s="289" t="n"/>
      <c r="R12" s="290" t="n"/>
      <c r="S12" s="248" t="inlineStr">
        <is>
          <t>Test coverage (%)</t>
        </is>
      </c>
      <c r="T12" s="289" t="n"/>
      <c r="U12" s="290" t="n"/>
      <c r="V12" s="248" t="inlineStr">
        <is>
          <t>Pass coverage (%)</t>
        </is>
      </c>
      <c r="W12" s="289" t="n"/>
      <c r="X12" s="290" t="n"/>
    </row>
    <row r="13" ht="18.75" customFormat="1" customHeight="1" s="89">
      <c r="A13" s="284" t="n"/>
      <c r="C13" s="285" t="n"/>
      <c r="D13" s="250" t="inlineStr">
        <is>
          <t>High</t>
        </is>
      </c>
      <c r="E13" s="291" t="n"/>
      <c r="F13" s="291" t="n"/>
      <c r="G13" s="291" t="n"/>
      <c r="H13" s="277" t="n"/>
      <c r="I13" s="250" t="inlineStr">
        <is>
          <t>Normal</t>
        </is>
      </c>
      <c r="J13" s="291" t="n"/>
      <c r="K13" s="291" t="n"/>
      <c r="L13" s="291" t="n"/>
      <c r="M13" s="277" t="n"/>
      <c r="N13" s="250" t="inlineStr">
        <is>
          <t>Low</t>
        </is>
      </c>
      <c r="O13" s="291" t="n"/>
      <c r="P13" s="291" t="n"/>
      <c r="Q13" s="291" t="n"/>
      <c r="R13" s="277" t="n"/>
      <c r="S13" s="243" t="inlineStr">
        <is>
          <t>High</t>
        </is>
      </c>
      <c r="T13" s="243" t="inlineStr">
        <is>
          <t>Normal</t>
        </is>
      </c>
      <c r="U13" s="243" t="inlineStr">
        <is>
          <t>Low</t>
        </is>
      </c>
      <c r="V13" s="243" t="inlineStr">
        <is>
          <t>High</t>
        </is>
      </c>
      <c r="W13" s="243" t="inlineStr">
        <is>
          <t>Normal</t>
        </is>
      </c>
      <c r="X13" s="243" t="inlineStr">
        <is>
          <t>Low</t>
        </is>
      </c>
    </row>
    <row r="14" ht="18.75" customFormat="1" customHeight="1" s="89">
      <c r="A14" s="286" t="n"/>
      <c r="B14" s="292" t="n"/>
      <c r="C14" s="287" t="n"/>
      <c r="D14" s="56" t="inlineStr">
        <is>
          <t>Pass</t>
        </is>
      </c>
      <c r="E14" s="56" t="inlineStr">
        <is>
          <t>Fail</t>
        </is>
      </c>
      <c r="F14" s="56" t="inlineStr">
        <is>
          <t>Untested</t>
        </is>
      </c>
      <c r="G14" s="56" t="inlineStr">
        <is>
          <t>Rejected</t>
        </is>
      </c>
      <c r="H14" s="56" t="inlineStr">
        <is>
          <t>Total</t>
        </is>
      </c>
      <c r="I14" s="56" t="inlineStr">
        <is>
          <t>Pass</t>
        </is>
      </c>
      <c r="J14" s="56" t="inlineStr">
        <is>
          <t>Fail</t>
        </is>
      </c>
      <c r="K14" s="56" t="inlineStr">
        <is>
          <t>Untested</t>
        </is>
      </c>
      <c r="L14" s="56" t="inlineStr">
        <is>
          <t>Rejected</t>
        </is>
      </c>
      <c r="M14" s="56" t="inlineStr">
        <is>
          <t>Total</t>
        </is>
      </c>
      <c r="N14" s="56" t="inlineStr">
        <is>
          <t>Pass</t>
        </is>
      </c>
      <c r="O14" s="56" t="inlineStr">
        <is>
          <t>Fail</t>
        </is>
      </c>
      <c r="P14" s="56" t="inlineStr">
        <is>
          <t>Untested</t>
        </is>
      </c>
      <c r="Q14" s="56" t="inlineStr">
        <is>
          <t>Rejected</t>
        </is>
      </c>
      <c r="R14" s="56" t="inlineStr">
        <is>
          <t>Total</t>
        </is>
      </c>
      <c r="S14" s="293" t="n"/>
      <c r="T14" s="293" t="n"/>
      <c r="U14" s="293" t="n"/>
      <c r="V14" s="293" t="n"/>
      <c r="W14" s="293" t="n"/>
      <c r="X14" s="293" t="n"/>
    </row>
    <row r="15" ht="15.75" customFormat="1" customHeight="1" s="89">
      <c r="A15" s="245" t="inlineStr">
        <is>
          <t>Environment</t>
        </is>
      </c>
      <c r="B15" s="283" t="n"/>
      <c r="C15" s="90">
        <f>C4</f>
        <v/>
      </c>
      <c r="D15" s="91">
        <f>SUMIF(C49:C94,C15,D49:D94)</f>
        <v/>
      </c>
      <c r="E15" s="91">
        <f>SUMIF(C49:C94,C15,E49:E94)</f>
        <v/>
      </c>
      <c r="F15" s="91">
        <f>SUMIF(C49:C94,C15,F49:F94)</f>
        <v/>
      </c>
      <c r="G15" s="91">
        <f>SUMIF(C49:C94,C15,G49:G94)</f>
        <v/>
      </c>
      <c r="H15" s="92">
        <f>SUMIF(C49:C94,C15,H49:H94)</f>
        <v/>
      </c>
      <c r="I15" s="93">
        <f>SUMIF(C49:C94,C15,I49:I94)</f>
        <v/>
      </c>
      <c r="J15" s="93">
        <f>SUMIF(C49:C94,C15,J49:J94)</f>
        <v/>
      </c>
      <c r="K15" s="93">
        <f>SUMIF(C49:C94,C15,K49:K94)</f>
        <v/>
      </c>
      <c r="L15" s="93">
        <f>SUMIF(C49:C94,C15,L49:L94)</f>
        <v/>
      </c>
      <c r="M15" s="93">
        <f>SUMIF(C49:C94,C15,M49:M94)</f>
        <v/>
      </c>
      <c r="N15" s="94">
        <f>SUMIF(C49:C94,C15,N49:N94)</f>
        <v/>
      </c>
      <c r="O15" s="94">
        <f>SUMIF(C49:C94,C15,O49:O94)</f>
        <v/>
      </c>
      <c r="P15" s="94">
        <f>SUMIF(C49:C94,C15,P49:P94)</f>
        <v/>
      </c>
      <c r="Q15" s="94">
        <f>SUMIF(C49:C94,C15,Q49:Q94)</f>
        <v/>
      </c>
      <c r="R15" s="94">
        <f>SUMIF(C49:C94,C15,R49:R94)</f>
        <v/>
      </c>
      <c r="S15" s="95">
        <f>(D15+E15)*100/(H15-G15)</f>
        <v/>
      </c>
      <c r="T15" s="96">
        <f>(I15+J15)*100/(M15-L15)</f>
        <v/>
      </c>
      <c r="U15" s="97">
        <f>(N15+O15)*100/(R15-Q15)</f>
        <v/>
      </c>
      <c r="V15" s="95">
        <f>D15*100/(H15-G15)</f>
        <v/>
      </c>
      <c r="W15" s="97">
        <f>I15*100/(M15-L15)</f>
        <v/>
      </c>
      <c r="X15" s="98">
        <f>N15*100/(R15-Q15)</f>
        <v/>
      </c>
    </row>
    <row r="16" customFormat="1" s="89">
      <c r="A16" s="284" t="n"/>
      <c r="B16" s="285" t="n"/>
      <c r="C16" s="90">
        <f>C5</f>
        <v/>
      </c>
      <c r="D16" s="91">
        <f>SUMIF(C49:C94,C16,D49:D94)</f>
        <v/>
      </c>
      <c r="E16" s="91">
        <f>SUMIF(C49:C94,C16,E49:E94)</f>
        <v/>
      </c>
      <c r="F16" s="91">
        <f>SUMIF(C49:C94,C16,F49:F94)</f>
        <v/>
      </c>
      <c r="G16" s="91">
        <f>SUMIF(C49:C94,C16,G49:G94)</f>
        <v/>
      </c>
      <c r="H16" s="92">
        <f>SUMIF(C49:C94,C16,H49:H94)</f>
        <v/>
      </c>
      <c r="I16" s="93">
        <f>SUMIF(C49:C94,C16,I49:I94)</f>
        <v/>
      </c>
      <c r="J16" s="93">
        <f>SUMIF(C49:C94,C16,J49:J94)</f>
        <v/>
      </c>
      <c r="K16" s="93">
        <f>SUMIF(C49:C94,C16,K49:K94)</f>
        <v/>
      </c>
      <c r="L16" s="93">
        <f>SUMIF(C49:C94,C16,L49:L94)</f>
        <v/>
      </c>
      <c r="M16" s="93">
        <f>SUMIF(C49:C94,C16,M49:M94)</f>
        <v/>
      </c>
      <c r="N16" s="94">
        <f>SUMIF(C49:C94,C16,N49:N94)</f>
        <v/>
      </c>
      <c r="O16" s="94">
        <f>SUMIF(C49:C94,C16,O49:O94)</f>
        <v/>
      </c>
      <c r="P16" s="94">
        <f>SUMIF(C49:C94,C16,P49:P94)</f>
        <v/>
      </c>
      <c r="Q16" s="94">
        <f>SUMIF(C49:C94,C16,Q49:Q94)</f>
        <v/>
      </c>
      <c r="R16" s="94">
        <f>SUMIF(C49:C94,C16,R49:R94)</f>
        <v/>
      </c>
      <c r="S16" s="95">
        <f>(D16+E16)*100/(H16-G16)</f>
        <v/>
      </c>
      <c r="T16" s="96">
        <f>(I16+J16)*100/(M16-L16)</f>
        <v/>
      </c>
      <c r="U16" s="98">
        <f>(N16+O16)*100/(R16-Q16)</f>
        <v/>
      </c>
      <c r="V16" s="95">
        <f>D16*100/(H16-G16)</f>
        <v/>
      </c>
      <c r="W16" s="97">
        <f>I16*100/(M16-L16)</f>
        <v/>
      </c>
      <c r="X16" s="98">
        <f>N16*100/(R16-Q16)</f>
        <v/>
      </c>
    </row>
    <row r="17" customFormat="1" s="89">
      <c r="A17" s="284" t="n"/>
      <c r="B17" s="285" t="n"/>
      <c r="C17" s="90">
        <f>C6</f>
        <v/>
      </c>
      <c r="D17" s="91">
        <f>SUMIF(C49:C94,C17,D49:D94)</f>
        <v/>
      </c>
      <c r="E17" s="91">
        <f>SUMIF(C49:C94,C17,E49:E94)</f>
        <v/>
      </c>
      <c r="F17" s="91">
        <f>SUMIF(C49:C94,C17,F49:F94)</f>
        <v/>
      </c>
      <c r="G17" s="91">
        <f>SUMIF(C49:C94,C17,G49:G94)</f>
        <v/>
      </c>
      <c r="H17" s="92">
        <f>SUMIF(C49:C94,C17,H49:H94)</f>
        <v/>
      </c>
      <c r="I17" s="93">
        <f>SUMIF(C49:C94,C17,I49:I94)</f>
        <v/>
      </c>
      <c r="J17" s="93">
        <f>SUMIF(C49:C94,C17,J49:J94)</f>
        <v/>
      </c>
      <c r="K17" s="93">
        <f>SUMIF(C49:C94,C17,K49:K94)</f>
        <v/>
      </c>
      <c r="L17" s="93">
        <f>SUMIF(C49:C94,C17,L49:L94)</f>
        <v/>
      </c>
      <c r="M17" s="93">
        <f>SUMIF(C49:C94,C17,M49:M94)</f>
        <v/>
      </c>
      <c r="N17" s="94">
        <f>SUMIF(C49:C94,C17,N49:N94)</f>
        <v/>
      </c>
      <c r="O17" s="94">
        <f>SUMIF(C49:C94,C17,O49:O94)</f>
        <v/>
      </c>
      <c r="P17" s="94">
        <f>SUMIF(C49:C94,C17,P49:P94)</f>
        <v/>
      </c>
      <c r="Q17" s="94">
        <f>SUMIF(C49:C94,C17,Q49:Q94)</f>
        <v/>
      </c>
      <c r="R17" s="94">
        <f>SUMIF(C49:C94,C17,R49:R94)</f>
        <v/>
      </c>
      <c r="S17" s="95">
        <f>(D17+E17)*100/(H17-G17)</f>
        <v/>
      </c>
      <c r="T17" s="96">
        <f>(I17+J17)*100/(M17-L17)</f>
        <v/>
      </c>
      <c r="U17" s="98">
        <f>(N17+O17)*100/(R17-Q17)</f>
        <v/>
      </c>
      <c r="V17" s="95">
        <f>D17*100/(H17-G17)</f>
        <v/>
      </c>
      <c r="W17" s="97">
        <f>I17*100/(M17-L17)</f>
        <v/>
      </c>
      <c r="X17" s="98">
        <f>N17*100/(R17-Q17)</f>
        <v/>
      </c>
    </row>
    <row r="18" customFormat="1" s="89">
      <c r="A18" s="284" t="n"/>
      <c r="B18" s="285" t="n"/>
      <c r="C18" s="90">
        <f>C7</f>
        <v/>
      </c>
      <c r="D18" s="91">
        <f>SUMIF(C49:C94,C18,D49:D94)</f>
        <v/>
      </c>
      <c r="E18" s="91">
        <f>SUMIF(C49:C94,C18,E49:E94)</f>
        <v/>
      </c>
      <c r="F18" s="91">
        <f>SUMIF(C49:C94,C18,F49:F94)</f>
        <v/>
      </c>
      <c r="G18" s="91">
        <f>SUMIF(C49:C94,C18,G49:G94)</f>
        <v/>
      </c>
      <c r="H18" s="92">
        <f>SUMIF(C49:C94,C18,H49:H94)</f>
        <v/>
      </c>
      <c r="I18" s="93">
        <f>SUMIF(C49:C94,C18,I49:I94)</f>
        <v/>
      </c>
      <c r="J18" s="93">
        <f>SUMIF(C49:C94,C18,J49:J94)</f>
        <v/>
      </c>
      <c r="K18" s="93">
        <f>SUMIF(C49:C94,C18,K49:K94)</f>
        <v/>
      </c>
      <c r="L18" s="93">
        <f>SUMIF(C49:C94,C18,L49:L94)</f>
        <v/>
      </c>
      <c r="M18" s="93">
        <f>SUMIF(C49:C94,C18,M49:M94)</f>
        <v/>
      </c>
      <c r="N18" s="94">
        <f>SUMIF(C49:C94,C18,N49:N94)</f>
        <v/>
      </c>
      <c r="O18" s="94">
        <f>SUMIF(C49:C94,C18,O49:O94)</f>
        <v/>
      </c>
      <c r="P18" s="94">
        <f>SUMIF(C49:C94,C18,P49:P94)</f>
        <v/>
      </c>
      <c r="Q18" s="94">
        <f>SUMIF(C49:C94,C18,Q49:Q94)</f>
        <v/>
      </c>
      <c r="R18" s="94">
        <f>SUMIF(C49:C94,C18,R49:R94)</f>
        <v/>
      </c>
      <c r="S18" s="95">
        <f>(D18+E18)*100/(H18-G18)</f>
        <v/>
      </c>
      <c r="T18" s="96">
        <f>(I18+J18)*100/(M18-L18)</f>
        <v/>
      </c>
      <c r="U18" s="98">
        <f>(N18+O18)*100/(R18-Q18)</f>
        <v/>
      </c>
      <c r="V18" s="95">
        <f>D18*100/(H18-G18)</f>
        <v/>
      </c>
      <c r="W18" s="97">
        <f>I18*100/(M18-L18)</f>
        <v/>
      </c>
      <c r="X18" s="98">
        <f>N18*100/(R18-Q18)</f>
        <v/>
      </c>
    </row>
    <row r="19" customFormat="1" s="89">
      <c r="A19" s="284" t="n"/>
      <c r="B19" s="285" t="n"/>
      <c r="C19" s="90">
        <f>C8</f>
        <v/>
      </c>
      <c r="D19" s="91">
        <f>SUMIF(C49:C94,C19,D49:D94)</f>
        <v/>
      </c>
      <c r="E19" s="91">
        <f>SUMIF(C49:C94,C19,E49:E94)</f>
        <v/>
      </c>
      <c r="F19" s="91">
        <f>SUMIF(C49:C94,C19,F49:F94)</f>
        <v/>
      </c>
      <c r="G19" s="91">
        <f>SUMIF(C49:C94,C19,G49:G94)</f>
        <v/>
      </c>
      <c r="H19" s="92">
        <f>SUMIF(C49:C94,C19,H49:H94)</f>
        <v/>
      </c>
      <c r="I19" s="93">
        <f>SUMIF(C49:C94,C19,I49:I94)</f>
        <v/>
      </c>
      <c r="J19" s="93">
        <f>SUMIF(C49:C94,C19,J49:J94)</f>
        <v/>
      </c>
      <c r="K19" s="93">
        <f>SUMIF(C49:C94,C19,K49:K94)</f>
        <v/>
      </c>
      <c r="L19" s="93">
        <f>SUMIF(C49:C94,C19,L49:L94)</f>
        <v/>
      </c>
      <c r="M19" s="93">
        <f>SUMIF(C49:C94,C19,M49:M94)</f>
        <v/>
      </c>
      <c r="N19" s="94">
        <f>SUMIF(C49:C94,C19,N49:N94)</f>
        <v/>
      </c>
      <c r="O19" s="94">
        <f>SUMIF(C49:C94,C19,O49:O94)</f>
        <v/>
      </c>
      <c r="P19" s="94">
        <f>SUMIF(C49:C94,C19,P49:P94)</f>
        <v/>
      </c>
      <c r="Q19" s="94">
        <f>SUMIF(C49:C94,C19,Q49:Q94)</f>
        <v/>
      </c>
      <c r="R19" s="94">
        <f>SUMIF(C49:C94,C19,R49:R94)</f>
        <v/>
      </c>
      <c r="S19" s="95">
        <f>(D19+E19)*100/(H19-G19)</f>
        <v/>
      </c>
      <c r="T19" s="96">
        <f>(I19+J19)*100/(M19-L19)</f>
        <v/>
      </c>
      <c r="U19" s="98">
        <f>(N19+O19)*100/(R19-Q19)</f>
        <v/>
      </c>
      <c r="V19" s="95">
        <f>D19*100/(H19-G19)</f>
        <v/>
      </c>
      <c r="W19" s="97">
        <f>I19*100/(M19-L19)</f>
        <v/>
      </c>
      <c r="X19" s="98">
        <f>N19*100/(R19-Q19)</f>
        <v/>
      </c>
    </row>
    <row r="20" customFormat="1" s="89">
      <c r="A20" s="286" t="n"/>
      <c r="B20" s="287" t="n"/>
      <c r="C20" s="90">
        <f>C9</f>
        <v/>
      </c>
      <c r="D20" s="91">
        <f>SUMIF(C49:C94,C20,D49:D94)</f>
        <v/>
      </c>
      <c r="E20" s="91">
        <f>SUMIF(C49:C94,C20,E49:E94)</f>
        <v/>
      </c>
      <c r="F20" s="91">
        <f>SUMIF(C49:C94,C20,F49:F94)</f>
        <v/>
      </c>
      <c r="G20" s="91">
        <f>SUMIF(C49:C94,C20,G49:G94)</f>
        <v/>
      </c>
      <c r="H20" s="92">
        <f>SUMIF(C49:C94,C20,H49:H94)</f>
        <v/>
      </c>
      <c r="I20" s="93">
        <f>SUMIF(C49:C94,C20,I49:I94)</f>
        <v/>
      </c>
      <c r="J20" s="93">
        <f>SUMIF(C49:C94,C20,J49:J94)</f>
        <v/>
      </c>
      <c r="K20" s="93">
        <f>SUMIF(C49:C94,C20,K49:K94)</f>
        <v/>
      </c>
      <c r="L20" s="93">
        <f>SUMIF(C49:C94,C20,L49:L94)</f>
        <v/>
      </c>
      <c r="M20" s="93">
        <f>SUMIF(C49:C94,C20,M49:M94)</f>
        <v/>
      </c>
      <c r="N20" s="94">
        <f>SUMIF(C49:C94,C20,N49:N94)</f>
        <v/>
      </c>
      <c r="O20" s="94">
        <f>SUMIF(C49:C94,C20,O49:O94)</f>
        <v/>
      </c>
      <c r="P20" s="94">
        <f>SUMIF(C49:C94,C20,P49:P94)</f>
        <v/>
      </c>
      <c r="Q20" s="94">
        <f>SUMIF(C49:C94,C20,Q49:Q94)</f>
        <v/>
      </c>
      <c r="R20" s="94">
        <f>SUMIF(C49:C94,C20,R49:R94)</f>
        <v/>
      </c>
      <c r="S20" s="95">
        <f>(D20+E20)*100/(H20-G20)</f>
        <v/>
      </c>
      <c r="T20" s="96">
        <f>(I20+J20)*100/(M20-L20)</f>
        <v/>
      </c>
      <c r="U20" s="98">
        <f>(N20+O20)*100/(R20-Q20)</f>
        <v/>
      </c>
      <c r="V20" s="95">
        <f>D20*100/(H20-G20)</f>
        <v/>
      </c>
      <c r="W20" s="97">
        <f>I20*100/(M20-L20)</f>
        <v/>
      </c>
      <c r="X20" s="98">
        <f>N20*100/(R20-Q20)</f>
        <v/>
      </c>
    </row>
    <row r="21" ht="16.5" customFormat="1" customHeight="1" s="89" thickBot="1">
      <c r="A21" s="239" t="inlineStr">
        <is>
          <t xml:space="preserve">Total:       </t>
        </is>
      </c>
      <c r="B21" s="294" t="n"/>
      <c r="C21" s="295" t="n"/>
      <c r="D21" s="99">
        <f>SUM(D15:D20)</f>
        <v/>
      </c>
      <c r="E21" s="99">
        <f>SUM(E15:E20)</f>
        <v/>
      </c>
      <c r="F21" s="99">
        <f>SUM(F15:F20)</f>
        <v/>
      </c>
      <c r="G21" s="99">
        <f>SUM(G15:G20)</f>
        <v/>
      </c>
      <c r="H21" s="99">
        <f>SUM(H15:H20)</f>
        <v/>
      </c>
      <c r="I21" s="99">
        <f>SUM(I15:I20)</f>
        <v/>
      </c>
      <c r="J21" s="99">
        <f>SUM(J15:J20)</f>
        <v/>
      </c>
      <c r="K21" s="99">
        <f>SUM(K15:K20)</f>
        <v/>
      </c>
      <c r="L21" s="99">
        <f>SUM(L15:L20)</f>
        <v/>
      </c>
      <c r="M21" s="99">
        <f>SUM(M15:M20)</f>
        <v/>
      </c>
      <c r="N21" s="99">
        <f>SUM(N15:N20)</f>
        <v/>
      </c>
      <c r="O21" s="99">
        <f>SUM(O15:O20)</f>
        <v/>
      </c>
      <c r="P21" s="99">
        <f>SUM(P15:P20)</f>
        <v/>
      </c>
      <c r="Q21" s="99">
        <f>SUM(Q15:Q20)</f>
        <v/>
      </c>
      <c r="R21" s="99">
        <f>SUM(R15:R20)</f>
        <v/>
      </c>
      <c r="S21" s="100">
        <f>SUM(S15:S20)/COUNTA(C15:C20)</f>
        <v/>
      </c>
      <c r="T21" s="100">
        <f>SUM(T15:T20)/COUNTA(C15:C20)</f>
        <v/>
      </c>
      <c r="U21" s="100">
        <f>SUM(U15:U20)/COUNTA(C15:C20)</f>
        <v/>
      </c>
      <c r="V21" s="100">
        <f>SUM(V15:V20)/COUNTA(C15:C20)</f>
        <v/>
      </c>
      <c r="W21" s="101">
        <f>SUM(W15:W20)/COUNTA(C15:C20)</f>
        <v/>
      </c>
      <c r="X21" s="102">
        <f>SUM(X15:X20)/COUNTA(C15:C20)</f>
        <v/>
      </c>
    </row>
    <row r="22" ht="12.75" customHeight="1">
      <c r="A22" s="49" t="n"/>
      <c r="B22" s="49" t="n"/>
      <c r="C22" s="49" t="n"/>
      <c r="D22" s="49" t="n"/>
      <c r="E22" s="49" t="n"/>
      <c r="F22" s="49" t="n"/>
      <c r="G22" s="49" t="n"/>
      <c r="H22" s="50" t="n"/>
      <c r="I22" s="49" t="n"/>
      <c r="J22" s="49" t="n"/>
      <c r="K22" s="49" t="n"/>
      <c r="L22" s="49" t="n"/>
      <c r="M22" s="50" t="n"/>
      <c r="N22" s="49" t="n"/>
      <c r="O22" s="49" t="n"/>
      <c r="P22" s="49" t="n"/>
      <c r="Q22" s="49" t="n"/>
      <c r="R22" s="50" t="n"/>
      <c r="S22" s="50" t="n"/>
      <c r="T22" s="51" t="n"/>
      <c r="U22" s="49" t="n"/>
      <c r="V22" s="49" t="n"/>
      <c r="W22" s="49" t="n"/>
      <c r="X22" s="49" t="n"/>
    </row>
    <row r="23" ht="12.75" customHeight="1" thickBot="1">
      <c r="A23" s="49" t="n"/>
      <c r="B23" s="49" t="n"/>
      <c r="C23" s="49" t="n"/>
      <c r="D23" s="49" t="n"/>
      <c r="E23" s="49" t="n"/>
      <c r="F23" s="49" t="n"/>
      <c r="G23" s="49" t="n"/>
      <c r="H23" s="50" t="n"/>
      <c r="I23" s="49" t="n"/>
      <c r="J23" s="49" t="n"/>
      <c r="K23" s="49" t="n"/>
      <c r="L23" s="49" t="n"/>
      <c r="M23" s="50" t="n"/>
      <c r="N23" s="49" t="n"/>
      <c r="O23" s="49" t="n"/>
      <c r="P23" s="49" t="n"/>
      <c r="Q23" s="49" t="n"/>
      <c r="R23" s="50" t="n"/>
      <c r="S23" s="50" t="n"/>
      <c r="T23" s="51" t="n"/>
      <c r="U23" s="49" t="n"/>
      <c r="V23" s="49" t="n"/>
      <c r="W23" s="49" t="n"/>
      <c r="X23" s="49" t="n"/>
    </row>
    <row r="24" ht="20.5" customHeight="1">
      <c r="A24" s="241" t="inlineStr">
        <is>
          <t>Round 2</t>
        </is>
      </c>
      <c r="B24" s="281" t="n"/>
      <c r="C24" s="288" t="n"/>
      <c r="D24" s="201" t="inlineStr">
        <is>
          <t>Test result</t>
        </is>
      </c>
      <c r="E24" s="289" t="n"/>
      <c r="F24" s="289" t="n"/>
      <c r="G24" s="289" t="n"/>
      <c r="H24" s="289" t="n"/>
      <c r="I24" s="289" t="n"/>
      <c r="J24" s="289" t="n"/>
      <c r="K24" s="289" t="n"/>
      <c r="L24" s="289" t="n"/>
      <c r="M24" s="289" t="n"/>
      <c r="N24" s="289" t="n"/>
      <c r="O24" s="289" t="n"/>
      <c r="P24" s="289" t="n"/>
      <c r="Q24" s="289" t="n"/>
      <c r="R24" s="290" t="n"/>
      <c r="S24" s="248" t="inlineStr">
        <is>
          <t>Test coverage (%)</t>
        </is>
      </c>
      <c r="T24" s="289" t="n"/>
      <c r="U24" s="290" t="n"/>
      <c r="V24" s="248" t="inlineStr">
        <is>
          <t>Pass coverage (%)</t>
        </is>
      </c>
      <c r="W24" s="289" t="n"/>
      <c r="X24" s="290" t="n"/>
    </row>
    <row r="25" ht="18.75" customFormat="1" customHeight="1" s="89">
      <c r="A25" s="284" t="n"/>
      <c r="C25" s="285" t="n"/>
      <c r="D25" s="250" t="inlineStr">
        <is>
          <t>High</t>
        </is>
      </c>
      <c r="E25" s="291" t="n"/>
      <c r="F25" s="291" t="n"/>
      <c r="G25" s="291" t="n"/>
      <c r="H25" s="277" t="n"/>
      <c r="I25" s="250" t="inlineStr">
        <is>
          <t>Normal</t>
        </is>
      </c>
      <c r="J25" s="291" t="n"/>
      <c r="K25" s="291" t="n"/>
      <c r="L25" s="291" t="n"/>
      <c r="M25" s="277" t="n"/>
      <c r="N25" s="250" t="inlineStr">
        <is>
          <t>Low</t>
        </is>
      </c>
      <c r="O25" s="291" t="n"/>
      <c r="P25" s="291" t="n"/>
      <c r="Q25" s="291" t="n"/>
      <c r="R25" s="277" t="n"/>
      <c r="S25" s="243">
        <f>S13</f>
        <v/>
      </c>
      <c r="T25" s="243">
        <f>T13</f>
        <v/>
      </c>
      <c r="U25" s="243">
        <f>U13</f>
        <v/>
      </c>
      <c r="V25" s="243">
        <f>V13</f>
        <v/>
      </c>
      <c r="W25" s="243">
        <f>W13</f>
        <v/>
      </c>
      <c r="X25" s="244">
        <f>X13</f>
        <v/>
      </c>
    </row>
    <row r="26" ht="18.75" customFormat="1" customHeight="1" s="89">
      <c r="A26" s="286" t="n"/>
      <c r="B26" s="292" t="n"/>
      <c r="C26" s="287" t="n"/>
      <c r="D26" s="56">
        <f>D14</f>
        <v/>
      </c>
      <c r="E26" s="56">
        <f>E14</f>
        <v/>
      </c>
      <c r="F26" s="56">
        <f>F14</f>
        <v/>
      </c>
      <c r="G26" s="56">
        <f>G14</f>
        <v/>
      </c>
      <c r="H26" s="56">
        <f>H14</f>
        <v/>
      </c>
      <c r="I26" s="56">
        <f>I14</f>
        <v/>
      </c>
      <c r="J26" s="56">
        <f>J14</f>
        <v/>
      </c>
      <c r="K26" s="56">
        <f>K14</f>
        <v/>
      </c>
      <c r="L26" s="56">
        <f>L14</f>
        <v/>
      </c>
      <c r="M26" s="56">
        <f>M14</f>
        <v/>
      </c>
      <c r="N26" s="56">
        <f>N14</f>
        <v/>
      </c>
      <c r="O26" s="56">
        <f>O14</f>
        <v/>
      </c>
      <c r="P26" s="56">
        <f>P14</f>
        <v/>
      </c>
      <c r="Q26" s="56">
        <f>Q14</f>
        <v/>
      </c>
      <c r="R26" s="56">
        <f>R14</f>
        <v/>
      </c>
      <c r="S26" s="293" t="n"/>
      <c r="T26" s="293" t="n"/>
      <c r="U26" s="293" t="n"/>
      <c r="V26" s="293" t="n"/>
      <c r="W26" s="293" t="n"/>
      <c r="X26" s="296" t="n"/>
    </row>
    <row r="27" ht="18.75" customFormat="1" customHeight="1" s="89">
      <c r="A27" s="245" t="inlineStr">
        <is>
          <t>Environment</t>
        </is>
      </c>
      <c r="B27" s="283" t="n"/>
      <c r="C27" s="90">
        <f>C4</f>
        <v/>
      </c>
      <c r="D27" s="92">
        <f>SUMIF(C97:C142,C15,D97:D142)</f>
        <v/>
      </c>
      <c r="E27" s="92">
        <f>SUMIF(C97:C142,C15,E97:E142)</f>
        <v/>
      </c>
      <c r="F27" s="92">
        <f>SUMIF(C97:C142,C15,F97:F142)</f>
        <v/>
      </c>
      <c r="G27" s="92">
        <f>SUMIF(C97:C142,C15,G97:G142)</f>
        <v/>
      </c>
      <c r="H27" s="92">
        <f>SUMIF(C97:C142,C15,H97:H142)</f>
        <v/>
      </c>
      <c r="I27" s="93">
        <f>SUMIF(C97:C142,C15,I97:I142)</f>
        <v/>
      </c>
      <c r="J27" s="93">
        <f>SUMIF(C97:C142,C15,J97:J142)</f>
        <v/>
      </c>
      <c r="K27" s="93">
        <f>SUMIF(C97:C142,C15,K97:K142)</f>
        <v/>
      </c>
      <c r="L27" s="93">
        <f>SUMIF(C97:C142,C15,L97:L142)</f>
        <v/>
      </c>
      <c r="M27" s="93">
        <f>SUMIF(C97:C142,C15,M97:M142)</f>
        <v/>
      </c>
      <c r="N27" s="94">
        <f>SUMIF(C97:C142,C15,N97:N142)</f>
        <v/>
      </c>
      <c r="O27" s="94">
        <f>SUMIF(C97:C142,C15,O97:O142)</f>
        <v/>
      </c>
      <c r="P27" s="103">
        <f>SUMIF(C97:C142,C15,P97:P142)</f>
        <v/>
      </c>
      <c r="Q27" s="94">
        <f>SUMIF(C97:C142,C15,Q97:Q142)</f>
        <v/>
      </c>
      <c r="R27" s="94">
        <f>SUMIF(C97:C142,C15,R97:R142)</f>
        <v/>
      </c>
      <c r="S27" s="95">
        <f>(D27+E27)*100/(H27-G27)</f>
        <v/>
      </c>
      <c r="T27" s="96">
        <f>(I27+J27)*100/(M27-L27)</f>
        <v/>
      </c>
      <c r="U27" s="97">
        <f>(N27+O27)*100/(R27-Q27)</f>
        <v/>
      </c>
      <c r="V27" s="95">
        <f>D27*100/(H27-G27)</f>
        <v/>
      </c>
      <c r="W27" s="97">
        <f>I27*100/(M27-L27)</f>
        <v/>
      </c>
      <c r="X27" s="98">
        <f>N27*100/(R27-Q27)</f>
        <v/>
      </c>
    </row>
    <row r="28" ht="15.75" customFormat="1" customHeight="1" s="89">
      <c r="A28" s="284" t="n"/>
      <c r="B28" s="285" t="n"/>
      <c r="C28" s="90">
        <f>C5</f>
        <v/>
      </c>
      <c r="D28" s="92">
        <f>SUMIF(C97:C142,C16,D97:D142)</f>
        <v/>
      </c>
      <c r="E28" s="92">
        <f>SUMIF(C97:C142,C16,E97:E142)</f>
        <v/>
      </c>
      <c r="F28" s="92">
        <f>SUMIF(C97:C142,C16,F97:F142)</f>
        <v/>
      </c>
      <c r="G28" s="92">
        <f>SUMIF(C97:C142,C16,G97:G142)</f>
        <v/>
      </c>
      <c r="H28" s="92">
        <f>SUMIF(C97:C142,C16,H97:H142)</f>
        <v/>
      </c>
      <c r="I28" s="93">
        <f>SUMIF(C97:C142,C16,I97:I142)</f>
        <v/>
      </c>
      <c r="J28" s="93">
        <f>SUMIF(C97:C142,C16,J97:J142)</f>
        <v/>
      </c>
      <c r="K28" s="93">
        <f>SUMIF(C97:C142,C16,K97:K142)</f>
        <v/>
      </c>
      <c r="L28" s="93">
        <f>SUMIF(C97:C142,C16,L97:L142)</f>
        <v/>
      </c>
      <c r="M28" s="93">
        <f>SUMIF(C97:C142,C16,M97:M142)</f>
        <v/>
      </c>
      <c r="N28" s="94">
        <f>SUMIF(C97:C142,C16,N97:N142)</f>
        <v/>
      </c>
      <c r="O28" s="94">
        <f>SUMIF(C97:C142,C16,O97:O142)</f>
        <v/>
      </c>
      <c r="P28" s="94">
        <f>SUMIF(C97:C142,C16,P97:P142)</f>
        <v/>
      </c>
      <c r="Q28" s="94">
        <f>SUMIF(C97:C142,C16,Q97:Q142)</f>
        <v/>
      </c>
      <c r="R28" s="94">
        <f>SUMIF(C97:C142,C16,R97:R142)</f>
        <v/>
      </c>
      <c r="S28" s="95">
        <f>(D28+E28)*100/(H28-G28)</f>
        <v/>
      </c>
      <c r="T28" s="96">
        <f>(I28+J28)*100/(M28-L28)</f>
        <v/>
      </c>
      <c r="U28" s="98">
        <f>(N28+O28)*100/(R28-Q28)</f>
        <v/>
      </c>
      <c r="V28" s="95">
        <f>D28*100/(H28-G28)</f>
        <v/>
      </c>
      <c r="W28" s="97">
        <f>I28*100/(M28-L28)</f>
        <v/>
      </c>
      <c r="X28" s="98">
        <f>N28*100/(R28-Q28)</f>
        <v/>
      </c>
    </row>
    <row r="29" customFormat="1" s="89">
      <c r="A29" s="284" t="n"/>
      <c r="B29" s="285" t="n"/>
      <c r="C29" s="90">
        <f>C6</f>
        <v/>
      </c>
      <c r="D29" s="92">
        <f>SUMIF(C97:C142,C17,D97:D142)</f>
        <v/>
      </c>
      <c r="E29" s="92">
        <f>SUMIF(C97:C142,C17,E97:E142)</f>
        <v/>
      </c>
      <c r="F29" s="92">
        <f>SUMIF(C97:C142,C17,F97:F142)</f>
        <v/>
      </c>
      <c r="G29" s="92">
        <f>SUMIF(C97:C142,C17,G97:G142)</f>
        <v/>
      </c>
      <c r="H29" s="92">
        <f>SUMIF(C97:C142,C17,H97:H142)</f>
        <v/>
      </c>
      <c r="I29" s="93">
        <f>SUMIF(C97:C142,C17,I97:I142)</f>
        <v/>
      </c>
      <c r="J29" s="93">
        <f>SUMIF(C97:C142,C17,J97:J142)</f>
        <v/>
      </c>
      <c r="K29" s="93">
        <f>SUMIF(C97:C142,C17,K97:K142)</f>
        <v/>
      </c>
      <c r="L29" s="93">
        <f>SUMIF(C97:C142,C17,L97:L142)</f>
        <v/>
      </c>
      <c r="M29" s="93">
        <f>SUMIF(C97:C142,C17,M97:M142)</f>
        <v/>
      </c>
      <c r="N29" s="94">
        <f>SUMIF(C97:C142,C17,N97:N142)</f>
        <v/>
      </c>
      <c r="O29" s="94">
        <f>SUMIF(C97:C142,C17,O97:O142)</f>
        <v/>
      </c>
      <c r="P29" s="94">
        <f>SUMIF(C97:C142,C17,P97:P142)</f>
        <v/>
      </c>
      <c r="Q29" s="94">
        <f>SUMIF(C97:C142,C17,Q97:Q142)</f>
        <v/>
      </c>
      <c r="R29" s="94">
        <f>SUMIF(C97:C142,C17,R97:R142)</f>
        <v/>
      </c>
      <c r="S29" s="95">
        <f>(D29+E29)*100/(H29-G29)</f>
        <v/>
      </c>
      <c r="T29" s="96">
        <f>(I29+J29)*100/(M29-L29)</f>
        <v/>
      </c>
      <c r="U29" s="98">
        <f>(N29+O29)*100/(R29-Q29)</f>
        <v/>
      </c>
      <c r="V29" s="95">
        <f>D29*100/(H29-G29)</f>
        <v/>
      </c>
      <c r="W29" s="97">
        <f>I29*100/(M29-L29)</f>
        <v/>
      </c>
      <c r="X29" s="98">
        <f>N29*100/(R29-Q29)</f>
        <v/>
      </c>
    </row>
    <row r="30" customFormat="1" s="89">
      <c r="A30" s="284" t="n"/>
      <c r="B30" s="285" t="n"/>
      <c r="C30" s="90">
        <f>C7</f>
        <v/>
      </c>
      <c r="D30" s="92">
        <f>SUMIF(C97:C142,C18,D97:D142)</f>
        <v/>
      </c>
      <c r="E30" s="92">
        <f>SUMIF(C97:C142,C18,E97:E142)</f>
        <v/>
      </c>
      <c r="F30" s="92">
        <f>SUMIF(C97:C142,C18,F97:F142)</f>
        <v/>
      </c>
      <c r="G30" s="92">
        <f>SUMIF(C97:C142,C18,G97:G142)</f>
        <v/>
      </c>
      <c r="H30" s="92">
        <f>SUMIF(C97:C142,C18,H97:H142)</f>
        <v/>
      </c>
      <c r="I30" s="93">
        <f>SUMIF(C97:C142,C18,I97:I142)</f>
        <v/>
      </c>
      <c r="J30" s="93">
        <f>SUMIF(C97:C142,C18,J97:J142)</f>
        <v/>
      </c>
      <c r="K30" s="93">
        <f>SUMIF(C97:C142,C18,K97:K142)</f>
        <v/>
      </c>
      <c r="L30" s="93">
        <f>SUMIF(C97:C142,C18,L97:L142)</f>
        <v/>
      </c>
      <c r="M30" s="93">
        <f>SUMIF(C97:C142,C18,M97:M142)</f>
        <v/>
      </c>
      <c r="N30" s="94">
        <f>SUMIF(C97:C142,C18,N97:N142)</f>
        <v/>
      </c>
      <c r="O30" s="94">
        <f>SUMIF(C97:C142,C18,O97:O142)</f>
        <v/>
      </c>
      <c r="P30" s="94">
        <f>SUMIF(C97:C142,C18,P97:P142)</f>
        <v/>
      </c>
      <c r="Q30" s="94">
        <f>SUMIF(C97:C142,C18,Q97:Q142)</f>
        <v/>
      </c>
      <c r="R30" s="94">
        <f>SUMIF(C97:C142,C18,R97:R142)</f>
        <v/>
      </c>
      <c r="S30" s="95">
        <f>(D30+E30)*100/(H30-G30)</f>
        <v/>
      </c>
      <c r="T30" s="96">
        <f>(I30+J30)*100/(M30-L30)</f>
        <v/>
      </c>
      <c r="U30" s="98">
        <f>(N30+O30)*100/(R30-Q30)</f>
        <v/>
      </c>
      <c r="V30" s="95">
        <f>D30*100/(H30-G30)</f>
        <v/>
      </c>
      <c r="W30" s="97">
        <f>I30*100/(M30-L30)</f>
        <v/>
      </c>
      <c r="X30" s="98">
        <f>N30*100/(R30-Q30)</f>
        <v/>
      </c>
    </row>
    <row r="31" customFormat="1" s="89">
      <c r="A31" s="284" t="n"/>
      <c r="B31" s="285" t="n"/>
      <c r="C31" s="90">
        <f>C8</f>
        <v/>
      </c>
      <c r="D31" s="92">
        <f>SUMIF(C97:C142,C19,D97:D142)</f>
        <v/>
      </c>
      <c r="E31" s="92">
        <f>SUMIF(C97:C142,C19,E97:E142)</f>
        <v/>
      </c>
      <c r="F31" s="92">
        <f>SUMIF(C97:C142,C19,F97:F142)</f>
        <v/>
      </c>
      <c r="G31" s="92">
        <f>SUMIF(C97:C142,C19,G97:G142)</f>
        <v/>
      </c>
      <c r="H31" s="92">
        <f>SUMIF(C97:C142,C19,H97:H142)</f>
        <v/>
      </c>
      <c r="I31" s="93">
        <f>SUMIF(C97:C142,C19,I97:I142)</f>
        <v/>
      </c>
      <c r="J31" s="93">
        <f>SUMIF(C97:C142,C19,J97:J142)</f>
        <v/>
      </c>
      <c r="K31" s="93">
        <f>SUMIF(C97:C142,C19,K97:K142)</f>
        <v/>
      </c>
      <c r="L31" s="93">
        <f>SUMIF(C97:C142,C19,L97:L142)</f>
        <v/>
      </c>
      <c r="M31" s="93">
        <f>SUMIF(C97:C142,C19,M97:M142)</f>
        <v/>
      </c>
      <c r="N31" s="94">
        <f>SUMIF(C97:C142,C19,N97:N142)</f>
        <v/>
      </c>
      <c r="O31" s="94">
        <f>SUMIF(C97:C142,C19,O97:O142)</f>
        <v/>
      </c>
      <c r="P31" s="94">
        <f>SUMIF(C97:C142,C19,P97:P142)</f>
        <v/>
      </c>
      <c r="Q31" s="94">
        <f>SUMIF(C97:C142,C19,Q97:Q142)</f>
        <v/>
      </c>
      <c r="R31" s="94">
        <f>SUMIF(C97:C142,C19,R97:R142)</f>
        <v/>
      </c>
      <c r="S31" s="95">
        <f>(D31+E31)*100/(H31-G31)</f>
        <v/>
      </c>
      <c r="T31" s="96">
        <f>(I31+J31)*100/(M31-L31)</f>
        <v/>
      </c>
      <c r="U31" s="98">
        <f>(N31+O31)*100/(R31-Q31)</f>
        <v/>
      </c>
      <c r="V31" s="95">
        <f>D31*100/(H31-G31)</f>
        <v/>
      </c>
      <c r="W31" s="97">
        <f>I31*100/(M31-L31)</f>
        <v/>
      </c>
      <c r="X31" s="98">
        <f>N31*100/(R31-Q31)</f>
        <v/>
      </c>
    </row>
    <row r="32" customFormat="1" s="89">
      <c r="A32" s="286" t="n"/>
      <c r="B32" s="287" t="n"/>
      <c r="C32" s="90">
        <f>C9</f>
        <v/>
      </c>
      <c r="D32" s="92">
        <f>SUMIF(C97:C142,C20,D97:D142)</f>
        <v/>
      </c>
      <c r="E32" s="92">
        <f>SUMIF(C97:C142,C20,E97:E142)</f>
        <v/>
      </c>
      <c r="F32" s="92">
        <f>SUMIF(C97:C142,C20,F97:F142)</f>
        <v/>
      </c>
      <c r="G32" s="92">
        <f>SUMIF(C97:C142,C20,G97:G142)</f>
        <v/>
      </c>
      <c r="H32" s="92">
        <f>SUMIF(C97:C142,C20,H97:H142)</f>
        <v/>
      </c>
      <c r="I32" s="93">
        <f>SUMIF(C97:C142,C20,I97:I142)</f>
        <v/>
      </c>
      <c r="J32" s="93">
        <f>SUMIF(C97:C142,C20,J97:J142)</f>
        <v/>
      </c>
      <c r="K32" s="93">
        <f>SUMIF(C97:C142,C20,K97:K142)</f>
        <v/>
      </c>
      <c r="L32" s="93">
        <f>SUMIF(C97:C142,C20,L97:L142)</f>
        <v/>
      </c>
      <c r="M32" s="93">
        <f>SUMIF(C97:C142,C20,M97:M142)</f>
        <v/>
      </c>
      <c r="N32" s="94">
        <f>SUMIF(C97:C142,C20,N97:N142)</f>
        <v/>
      </c>
      <c r="O32" s="94">
        <f>SUMIF(C97:C142,C20,O97:O142)</f>
        <v/>
      </c>
      <c r="P32" s="94">
        <f>SUMIF(C97:C142,C20,P97:P142)</f>
        <v/>
      </c>
      <c r="Q32" s="94">
        <f>SUMIF(C97:C142,C20,Q97:Q142)</f>
        <v/>
      </c>
      <c r="R32" s="94">
        <f>SUMIF(C97:C142,C20,R97:R142)</f>
        <v/>
      </c>
      <c r="S32" s="95">
        <f>(D32+E32)*100/(H32-G32)</f>
        <v/>
      </c>
      <c r="T32" s="96">
        <f>(I32+J32)*100/(M32-L32)</f>
        <v/>
      </c>
      <c r="U32" s="97">
        <f>(N32+O32)*100/(R32-Q32)</f>
        <v/>
      </c>
      <c r="V32" s="95">
        <f>D32*100/(H32-G32)</f>
        <v/>
      </c>
      <c r="W32" s="97">
        <f>I32*100/(M32-L32)</f>
        <v/>
      </c>
      <c r="X32" s="98">
        <f>N32*100/(R32-Q32)</f>
        <v/>
      </c>
    </row>
    <row r="33" ht="11" customFormat="1" customHeight="1" s="89" thickBot="1">
      <c r="A33" s="239" t="inlineStr">
        <is>
          <t xml:space="preserve">Total:       </t>
        </is>
      </c>
      <c r="B33" s="294" t="n"/>
      <c r="C33" s="295" t="n"/>
      <c r="D33" s="99">
        <f>SUM(D27:D32)</f>
        <v/>
      </c>
      <c r="E33" s="99">
        <f>SUM(E27:E32)</f>
        <v/>
      </c>
      <c r="F33" s="99">
        <f>SUM(F27:F32)</f>
        <v/>
      </c>
      <c r="G33" s="99">
        <f>SUM(G27:G32)</f>
        <v/>
      </c>
      <c r="H33" s="99">
        <f>SUM(H27:H32)</f>
        <v/>
      </c>
      <c r="I33" s="99">
        <f>SUM(I27:I32)</f>
        <v/>
      </c>
      <c r="J33" s="99">
        <f>SUM(J27:J32)</f>
        <v/>
      </c>
      <c r="K33" s="99">
        <f>SUM(K27:K32)</f>
        <v/>
      </c>
      <c r="L33" s="99">
        <f>SUM(L27:L32)</f>
        <v/>
      </c>
      <c r="M33" s="99">
        <f>SUM(M27:M32)</f>
        <v/>
      </c>
      <c r="N33" s="99">
        <f>SUM(N27:N32)</f>
        <v/>
      </c>
      <c r="O33" s="99">
        <f>SUM(O27:O32)</f>
        <v/>
      </c>
      <c r="P33" s="99">
        <f>SUM(P27:P32)</f>
        <v/>
      </c>
      <c r="Q33" s="99">
        <f>SUM(Q27:Q32)</f>
        <v/>
      </c>
      <c r="R33" s="99">
        <f>SUM(R27:R32)</f>
        <v/>
      </c>
      <c r="S33" s="100">
        <f>SUM(S27:S32)/COUNTA(C15:C20)</f>
        <v/>
      </c>
      <c r="T33" s="100">
        <f>SUM(T27:T32)/COUNTA(C15:C20)</f>
        <v/>
      </c>
      <c r="U33" s="100">
        <f>SUM(U27:U32)/COUNTA(C15:C20)</f>
        <v/>
      </c>
      <c r="V33" s="100">
        <f>SUM(V27:V32)/COUNTA(C15:C20)</f>
        <v/>
      </c>
      <c r="W33" s="101">
        <f>SUM(W27:W32)/COUNTA(C15:C20)</f>
        <v/>
      </c>
      <c r="X33" s="102">
        <f>SUM(X27:X32)/COUNTA(C15:C20)</f>
        <v/>
      </c>
    </row>
    <row r="34" ht="13.5" customFormat="1" customHeight="1" s="89">
      <c r="A34" s="49" t="n"/>
      <c r="B34" s="49" t="n"/>
      <c r="C34" s="49" t="n"/>
      <c r="D34" s="49" t="n"/>
      <c r="E34" s="49" t="n"/>
      <c r="F34" s="49" t="n"/>
      <c r="G34" s="49" t="n"/>
      <c r="H34" s="50" t="n"/>
      <c r="I34" s="49" t="n"/>
      <c r="J34" s="49" t="n"/>
      <c r="K34" s="49" t="n"/>
      <c r="L34" s="49" t="n"/>
      <c r="M34" s="50" t="n"/>
      <c r="N34" s="49" t="n"/>
      <c r="O34" s="49" t="n"/>
      <c r="P34" s="49" t="n"/>
      <c r="Q34" s="49" t="n"/>
      <c r="R34" s="50" t="n"/>
      <c r="S34" s="50" t="n"/>
      <c r="T34" s="51" t="n"/>
      <c r="U34" s="49" t="n"/>
      <c r="V34" s="49" t="n"/>
      <c r="W34" s="49" t="n"/>
      <c r="X34" s="49" t="n"/>
    </row>
    <row r="35" ht="13.5" customFormat="1" customHeight="1" s="89" thickBot="1">
      <c r="A35" s="49" t="n"/>
      <c r="B35" s="49" t="n"/>
      <c r="C35" s="49" t="n"/>
      <c r="D35" s="49" t="n"/>
      <c r="E35" s="49" t="n"/>
      <c r="F35" s="49" t="n"/>
      <c r="G35" s="49" t="n"/>
      <c r="H35" s="50" t="n"/>
      <c r="I35" s="49" t="n"/>
      <c r="J35" s="49" t="n"/>
      <c r="K35" s="49" t="n"/>
      <c r="L35" s="49" t="n"/>
      <c r="M35" s="50" t="n"/>
      <c r="N35" s="49" t="n"/>
      <c r="O35" s="49" t="n"/>
      <c r="P35" s="49" t="n"/>
      <c r="Q35" s="49" t="n"/>
      <c r="R35" s="50" t="n"/>
      <c r="S35" s="50" t="n"/>
      <c r="T35" s="51" t="n"/>
      <c r="U35" s="49" t="n"/>
      <c r="V35" s="49" t="n"/>
      <c r="W35" s="49" t="n"/>
      <c r="X35" s="49" t="n"/>
    </row>
    <row r="36" ht="15.75" customFormat="1" customHeight="1" s="89">
      <c r="A36" s="241" t="inlineStr">
        <is>
          <t>Round 3</t>
        </is>
      </c>
      <c r="B36" s="281" t="n"/>
      <c r="C36" s="288" t="n"/>
      <c r="D36" s="201" t="inlineStr">
        <is>
          <t>Test result</t>
        </is>
      </c>
      <c r="E36" s="289" t="n"/>
      <c r="F36" s="289" t="n"/>
      <c r="G36" s="289" t="n"/>
      <c r="H36" s="289" t="n"/>
      <c r="I36" s="289" t="n"/>
      <c r="J36" s="289" t="n"/>
      <c r="K36" s="289" t="n"/>
      <c r="L36" s="289" t="n"/>
      <c r="M36" s="289" t="n"/>
      <c r="N36" s="289" t="n"/>
      <c r="O36" s="289" t="n"/>
      <c r="P36" s="289" t="n"/>
      <c r="Q36" s="289" t="n"/>
      <c r="R36" s="290" t="n"/>
      <c r="S36" s="248" t="inlineStr">
        <is>
          <t>Test coverage (%)</t>
        </is>
      </c>
      <c r="T36" s="289" t="n"/>
      <c r="U36" s="290" t="n"/>
      <c r="V36" s="248" t="inlineStr">
        <is>
          <t>Pass coverage (%)</t>
        </is>
      </c>
      <c r="W36" s="289" t="n"/>
      <c r="X36" s="290" t="n"/>
    </row>
    <row r="37" customFormat="1" s="89">
      <c r="A37" s="284" t="n"/>
      <c r="C37" s="285" t="n"/>
      <c r="D37" s="250" t="inlineStr">
        <is>
          <t>High</t>
        </is>
      </c>
      <c r="E37" s="291" t="n"/>
      <c r="F37" s="291" t="n"/>
      <c r="G37" s="291" t="n"/>
      <c r="H37" s="277" t="n"/>
      <c r="I37" s="250" t="inlineStr">
        <is>
          <t>Normal</t>
        </is>
      </c>
      <c r="J37" s="291" t="n"/>
      <c r="K37" s="291" t="n"/>
      <c r="L37" s="291" t="n"/>
      <c r="M37" s="277" t="n"/>
      <c r="N37" s="250" t="inlineStr">
        <is>
          <t>Low</t>
        </is>
      </c>
      <c r="O37" s="291" t="n"/>
      <c r="P37" s="291" t="n"/>
      <c r="Q37" s="291" t="n"/>
      <c r="R37" s="277" t="n"/>
      <c r="S37" s="243" t="inlineStr">
        <is>
          <t>High</t>
        </is>
      </c>
      <c r="T37" s="243" t="inlineStr">
        <is>
          <t>Normal</t>
        </is>
      </c>
      <c r="U37" s="243" t="inlineStr">
        <is>
          <t>Low</t>
        </is>
      </c>
      <c r="V37" s="243" t="inlineStr">
        <is>
          <t>High</t>
        </is>
      </c>
      <c r="W37" s="243" t="inlineStr">
        <is>
          <t>Normal</t>
        </is>
      </c>
      <c r="X37" s="244" t="inlineStr">
        <is>
          <t>Low</t>
        </is>
      </c>
    </row>
    <row r="38" ht="15.75" customFormat="1" customHeight="1" s="89">
      <c r="A38" s="286" t="n"/>
      <c r="B38" s="292" t="n"/>
      <c r="C38" s="287" t="n"/>
      <c r="D38" s="56" t="inlineStr">
        <is>
          <t>Pass</t>
        </is>
      </c>
      <c r="E38" s="56" t="inlineStr">
        <is>
          <t>Fail</t>
        </is>
      </c>
      <c r="F38" s="56" t="inlineStr">
        <is>
          <t>Untested</t>
        </is>
      </c>
      <c r="G38" s="56" t="inlineStr">
        <is>
          <t>Rejected</t>
        </is>
      </c>
      <c r="H38" s="56" t="inlineStr">
        <is>
          <t>Total</t>
        </is>
      </c>
      <c r="I38" s="56" t="inlineStr">
        <is>
          <t>Pass</t>
        </is>
      </c>
      <c r="J38" s="56" t="inlineStr">
        <is>
          <t>Fail</t>
        </is>
      </c>
      <c r="K38" s="56" t="inlineStr">
        <is>
          <t>Untested</t>
        </is>
      </c>
      <c r="L38" s="56" t="inlineStr">
        <is>
          <t>Rejected</t>
        </is>
      </c>
      <c r="M38" s="56" t="inlineStr">
        <is>
          <t>Total</t>
        </is>
      </c>
      <c r="N38" s="56" t="inlineStr">
        <is>
          <t>Pass</t>
        </is>
      </c>
      <c r="O38" s="56" t="inlineStr">
        <is>
          <t>Fail</t>
        </is>
      </c>
      <c r="P38" s="56" t="inlineStr">
        <is>
          <t>Untested</t>
        </is>
      </c>
      <c r="Q38" s="56" t="inlineStr">
        <is>
          <t>Rejected</t>
        </is>
      </c>
      <c r="R38" s="56" t="inlineStr">
        <is>
          <t>Total</t>
        </is>
      </c>
      <c r="S38" s="293" t="n"/>
      <c r="T38" s="293" t="n"/>
      <c r="U38" s="293" t="n"/>
      <c r="V38" s="293" t="n"/>
      <c r="W38" s="293" t="n"/>
      <c r="X38" s="296" t="n"/>
    </row>
    <row r="39" customFormat="1" s="89">
      <c r="A39" s="245" t="inlineStr">
        <is>
          <t>Environment</t>
        </is>
      </c>
      <c r="B39" s="283" t="n"/>
      <c r="C39" s="90">
        <f>C4</f>
        <v/>
      </c>
      <c r="D39" s="92">
        <f>SUMIF(C145:C189,C15,D145:D189)</f>
        <v/>
      </c>
      <c r="E39" s="92">
        <f>SUMIF(C145:C189,C15,E145:E189)</f>
        <v/>
      </c>
      <c r="F39" s="92">
        <f>SUMIF(C145:C189,C15,F145:F189)</f>
        <v/>
      </c>
      <c r="G39" s="92">
        <f>SUMIF(C145:C189,C15,G145:G189)</f>
        <v/>
      </c>
      <c r="H39" s="92">
        <f>SUMIF(C145:C189,C15,H145:H189)</f>
        <v/>
      </c>
      <c r="I39" s="93">
        <f>SUMIF(C145:C189,C15,I145:I189)</f>
        <v/>
      </c>
      <c r="J39" s="93">
        <f>SUMIF(C145:C189,C15,J145:J189)</f>
        <v/>
      </c>
      <c r="K39" s="93">
        <f>SUMIF(C145:C189,C15,K145:K189)</f>
        <v/>
      </c>
      <c r="L39" s="93">
        <f>SUMIF(C145:C189,C15,L145:L189)</f>
        <v/>
      </c>
      <c r="M39" s="93">
        <f>SUMIF(C145:C189,C15,M145:M189)</f>
        <v/>
      </c>
      <c r="N39" s="94">
        <f>SUMIF(C145:C189,C15,N145:N189)</f>
        <v/>
      </c>
      <c r="O39" s="94">
        <f>SUMIF(C145:C189,C15,O145:O189)</f>
        <v/>
      </c>
      <c r="P39" s="94">
        <f>SUMIF(C145:C189,C15,P145:P189)</f>
        <v/>
      </c>
      <c r="Q39" s="94">
        <f>SUMIF(C145:C189,C15,Q145:Q189)</f>
        <v/>
      </c>
      <c r="R39" s="94">
        <f>SUMIF(C145:C189,C15,R145:R189)</f>
        <v/>
      </c>
      <c r="S39" s="95">
        <f>(D39+E39)*100/(H39-G39)</f>
        <v/>
      </c>
      <c r="T39" s="96">
        <f>(I39+J39)*100/(M39-L39)</f>
        <v/>
      </c>
      <c r="U39" s="97">
        <f>(N39+O39)*100/(R39-Q39)</f>
        <v/>
      </c>
      <c r="V39" s="95">
        <f>D39*100/(H39-G39)</f>
        <v/>
      </c>
      <c r="W39" s="97">
        <f>I39*100/(M39-L39)</f>
        <v/>
      </c>
      <c r="X39" s="98">
        <f>N39*100/(R39-Q39)</f>
        <v/>
      </c>
    </row>
    <row r="40" customFormat="1" s="89">
      <c r="A40" s="284" t="n"/>
      <c r="B40" s="285" t="n"/>
      <c r="C40" s="90">
        <f>C5</f>
        <v/>
      </c>
      <c r="D40" s="92">
        <f>SUMIF(C145:C189,C16,D145:D189)</f>
        <v/>
      </c>
      <c r="E40" s="92">
        <f>SUMIF(C145:C189,C16,E145:E189)</f>
        <v/>
      </c>
      <c r="F40" s="92">
        <f>SUMIF(C145:C189,C16,F145:F189)</f>
        <v/>
      </c>
      <c r="G40" s="92">
        <f>SUMIF(C145:C189,C16,G145:G189)</f>
        <v/>
      </c>
      <c r="H40" s="92">
        <f>SUMIF(C145:C189,C16,H145:H189)</f>
        <v/>
      </c>
      <c r="I40" s="93">
        <f>SUMIF(C145:C189,C16,I145:I189)</f>
        <v/>
      </c>
      <c r="J40" s="93">
        <f>SUMIF(C145:C189,C16,J145:J189)</f>
        <v/>
      </c>
      <c r="K40" s="93">
        <f>SUMIF(C145:C189,C16,K145:K189)</f>
        <v/>
      </c>
      <c r="L40" s="93">
        <f>SUMIF(C145:C189,C16,L145:L189)</f>
        <v/>
      </c>
      <c r="M40" s="93">
        <f>SUMIF(C145:C189,C16,M145:M189)</f>
        <v/>
      </c>
      <c r="N40" s="94">
        <f>SUMIF(C145:C189,C16,N145:N189)</f>
        <v/>
      </c>
      <c r="O40" s="94">
        <f>SUMIF(C145:C189,C16,O145:O189)</f>
        <v/>
      </c>
      <c r="P40" s="94">
        <f>SUMIF(C145:C189,C16,P145:P189)</f>
        <v/>
      </c>
      <c r="Q40" s="94">
        <f>SUMIF(C145:C189,C16,Q145:Q189)</f>
        <v/>
      </c>
      <c r="R40" s="94">
        <f>SUMIF(C145:C189,C16,R145:R189)</f>
        <v/>
      </c>
      <c r="S40" s="95">
        <f>(D40+E40)*100/(H40-G40)</f>
        <v/>
      </c>
      <c r="T40" s="96">
        <f>(I40+J40)*100/(M40-L40)</f>
        <v/>
      </c>
      <c r="U40" s="97">
        <f>(N40+O40)*100/(R40-Q40)</f>
        <v/>
      </c>
      <c r="V40" s="95">
        <f>D40*100/(H40-G40)</f>
        <v/>
      </c>
      <c r="W40" s="97">
        <f>I40*100/(M40-L40)</f>
        <v/>
      </c>
      <c r="X40" s="98">
        <f>N40*100/(R40-Q40)</f>
        <v/>
      </c>
    </row>
    <row r="41" customFormat="1" s="89">
      <c r="A41" s="284" t="n"/>
      <c r="B41" s="285" t="n"/>
      <c r="C41" s="90">
        <f>C6</f>
        <v/>
      </c>
      <c r="D41" s="92">
        <f>SUMIF(C145:C189,C17,D145:D189)</f>
        <v/>
      </c>
      <c r="E41" s="92">
        <f>SUMIF(C145:C189,C17,E145:E189)</f>
        <v/>
      </c>
      <c r="F41" s="92">
        <f>SUMIF(C145:C189,C17,F145:F189)</f>
        <v/>
      </c>
      <c r="G41" s="92">
        <f>SUMIF(C145:C189,C17,G145:G189)</f>
        <v/>
      </c>
      <c r="H41" s="92">
        <f>SUMIF(C145:C189,C17,H145:H189)</f>
        <v/>
      </c>
      <c r="I41" s="93">
        <f>SUMIF(C145:C189,C17,I145:I189)</f>
        <v/>
      </c>
      <c r="J41" s="93">
        <f>SUMIF(C145:C189,C17,J145:J189)</f>
        <v/>
      </c>
      <c r="K41" s="93">
        <f>SUMIF(C145:C189,C17,K145:K189)</f>
        <v/>
      </c>
      <c r="L41" s="93">
        <f>SUMIF(C145:C189,C17,L145:L189)</f>
        <v/>
      </c>
      <c r="M41" s="93">
        <f>SUMIF(C145:C189,C17,M145:M189)</f>
        <v/>
      </c>
      <c r="N41" s="94">
        <f>SUMIF(C145:C189,C17,N145:N189)</f>
        <v/>
      </c>
      <c r="O41" s="94">
        <f>SUMIF(C145:C189,C17,O145:O189)</f>
        <v/>
      </c>
      <c r="P41" s="94">
        <f>SUMIF(C145:C189,C17,P145:P189)</f>
        <v/>
      </c>
      <c r="Q41" s="94">
        <f>SUMIF(C145:C189,C17,Q145:Q189)</f>
        <v/>
      </c>
      <c r="R41" s="94">
        <f>SUMIF(C145:C189,C17,R145:R189)</f>
        <v/>
      </c>
      <c r="S41" s="95">
        <f>(D41+E41)*100/(H41-G41)</f>
        <v/>
      </c>
      <c r="T41" s="96">
        <f>(I41+J41)*100/(M41-L41)</f>
        <v/>
      </c>
      <c r="U41" s="97">
        <f>(N41+O41)*100/(R41-Q41)</f>
        <v/>
      </c>
      <c r="V41" s="95">
        <f>D41*100/(H41-G41)</f>
        <v/>
      </c>
      <c r="W41" s="97">
        <f>I41*100/(M41-L41)</f>
        <v/>
      </c>
      <c r="X41" s="98">
        <f>N41*100/(R41-Q41)</f>
        <v/>
      </c>
    </row>
    <row r="42" ht="15.75" customFormat="1" customHeight="1" s="89">
      <c r="A42" s="284" t="n"/>
      <c r="B42" s="285" t="n"/>
      <c r="C42" s="90">
        <f>C7</f>
        <v/>
      </c>
      <c r="D42" s="92">
        <f>SUMIF(C145:C189,C18,D145:D189)</f>
        <v/>
      </c>
      <c r="E42" s="92">
        <f>SUMIF(C145:C189,C18,E145:E189)</f>
        <v/>
      </c>
      <c r="F42" s="92">
        <f>SUMIF(C145:C189,C18,F145:F189)</f>
        <v/>
      </c>
      <c r="G42" s="92">
        <f>SUMIF(C145:C189,C18,G145:G189)</f>
        <v/>
      </c>
      <c r="H42" s="92">
        <f>SUMIF(C145:C189,C18,H145:H189)</f>
        <v/>
      </c>
      <c r="I42" s="93">
        <f>SUMIF(C145:C189,C18,I145:I189)</f>
        <v/>
      </c>
      <c r="J42" s="93">
        <f>SUMIF(C145:C189,C18,J145:J189)</f>
        <v/>
      </c>
      <c r="K42" s="93">
        <f>SUMIF(C145:C189,C18,K145:K189)</f>
        <v/>
      </c>
      <c r="L42" s="93">
        <f>SUMIF(C145:C189,C18,L145:L189)</f>
        <v/>
      </c>
      <c r="M42" s="93">
        <f>SUMIF(C145:C189,C18,M145:M189)</f>
        <v/>
      </c>
      <c r="N42" s="94">
        <f>SUMIF(C145:C189,C18,N145:N189)</f>
        <v/>
      </c>
      <c r="O42" s="94">
        <f>SUMIF(C145:C189,C18,O145:O189)</f>
        <v/>
      </c>
      <c r="P42" s="94">
        <f>SUMIF(C145:C189,C18,P145:P189)</f>
        <v/>
      </c>
      <c r="Q42" s="94">
        <f>SUMIF(C145:C189,C18,Q145:Q189)</f>
        <v/>
      </c>
      <c r="R42" s="94">
        <f>SUMIF(C145:C189,C18,R145:R189)</f>
        <v/>
      </c>
      <c r="S42" s="95">
        <f>(D42+E42)*100/(H42-G42)</f>
        <v/>
      </c>
      <c r="T42" s="96">
        <f>(I42+J42)*100/(M42-L42)</f>
        <v/>
      </c>
      <c r="U42" s="97">
        <f>(N42+O42)*100/(R42-Q42)</f>
        <v/>
      </c>
      <c r="V42" s="95">
        <f>D42*100/(H42-G42)</f>
        <v/>
      </c>
      <c r="W42" s="97">
        <f>I42*100/(M42-L42)</f>
        <v/>
      </c>
      <c r="X42" s="98">
        <f>N42*100/(R42-Q42)</f>
        <v/>
      </c>
    </row>
    <row r="43" customFormat="1" s="89">
      <c r="A43" s="284" t="n"/>
      <c r="B43" s="285" t="n"/>
      <c r="C43" s="90">
        <f>C8</f>
        <v/>
      </c>
      <c r="D43" s="92">
        <f>SUMIF(C145:C189,C19,D145:D189)</f>
        <v/>
      </c>
      <c r="E43" s="92">
        <f>SUMIF(C145:C189,C19,E145:E189)</f>
        <v/>
      </c>
      <c r="F43" s="92">
        <f>SUMIF(C145:C189,C19,F145:F189)</f>
        <v/>
      </c>
      <c r="G43" s="92">
        <f>SUMIF(C145:C189,C19,G145:G189)</f>
        <v/>
      </c>
      <c r="H43" s="92">
        <f>SUMIF(C145:C189,C19,H145:H189)</f>
        <v/>
      </c>
      <c r="I43" s="93">
        <f>SUMIF(C145:C189,C19,I145:I189)</f>
        <v/>
      </c>
      <c r="J43" s="93">
        <f>SUMIF(C145:C189,C19,J145:J189)</f>
        <v/>
      </c>
      <c r="K43" s="93">
        <f>SUMIF(C145:C189,C19,K145:K189)</f>
        <v/>
      </c>
      <c r="L43" s="93">
        <f>SUMIF(C145:C189,C19,L145:L189)</f>
        <v/>
      </c>
      <c r="M43" s="93">
        <f>SUMIF(C145:C189,C19,M145:M189)</f>
        <v/>
      </c>
      <c r="N43" s="94">
        <f>SUMIF(C145:C189,C19,N145:N189)</f>
        <v/>
      </c>
      <c r="O43" s="94">
        <f>SUMIF(C145:C189,C19,O145:O189)</f>
        <v/>
      </c>
      <c r="P43" s="94">
        <f>SUMIF(C145:C189,C19,P145:P189)</f>
        <v/>
      </c>
      <c r="Q43" s="94">
        <f>SUMIF(C145:C189,C19,Q145:Q189)</f>
        <v/>
      </c>
      <c r="R43" s="94">
        <f>SUMIF(C145:C189,C19,R145:R189)</f>
        <v/>
      </c>
      <c r="S43" s="95">
        <f>(D43+E43)*100/(H43-G43)</f>
        <v/>
      </c>
      <c r="T43" s="96">
        <f>(I43+J43)*100/(M43-L43)</f>
        <v/>
      </c>
      <c r="U43" s="97">
        <f>(N43+O43)*100/(R43-Q43)</f>
        <v/>
      </c>
      <c r="V43" s="95">
        <f>D43*100/(H43-G43)</f>
        <v/>
      </c>
      <c r="W43" s="97">
        <f>I43*100/(M43-L43)</f>
        <v/>
      </c>
      <c r="X43" s="98">
        <f>N43*100/(R43-Q43)</f>
        <v/>
      </c>
    </row>
    <row r="44" customFormat="1" s="89">
      <c r="A44" s="286" t="n"/>
      <c r="B44" s="287" t="n"/>
      <c r="C44" s="90">
        <f>C9</f>
        <v/>
      </c>
      <c r="D44" s="92">
        <f>SUMIF(C145:C189,C20,D145:D189)</f>
        <v/>
      </c>
      <c r="E44" s="92">
        <f>SUMIF(C145:C189,C20,E145:E189)</f>
        <v/>
      </c>
      <c r="F44" s="92">
        <f>SUMIF(C145:C189,C20,F145:F189)</f>
        <v/>
      </c>
      <c r="G44" s="92">
        <f>SUMIF(C145:C189,C20,G145:G189)</f>
        <v/>
      </c>
      <c r="H44" s="92">
        <f>SUMIF(C145:C189,C20,H145:H189)</f>
        <v/>
      </c>
      <c r="I44" s="93">
        <f>SUMIF(C145:C189,C20,I145:I189)</f>
        <v/>
      </c>
      <c r="J44" s="93">
        <f>SUMIF(C145:C189,C20,J145:J189)</f>
        <v/>
      </c>
      <c r="K44" s="93">
        <f>SUMIF(C145:C189,C20,K145:K189)</f>
        <v/>
      </c>
      <c r="L44" s="93">
        <f>SUMIF(C145:C189,C20,L145:L189)</f>
        <v/>
      </c>
      <c r="M44" s="93">
        <f>SUMIF(C145:C189,C20,M145:M189)</f>
        <v/>
      </c>
      <c r="N44" s="94">
        <f>SUMIF(C145:C189,C20,N145:N189)</f>
        <v/>
      </c>
      <c r="O44" s="94">
        <f>SUMIF(C145:C189,C20,O145:O189)</f>
        <v/>
      </c>
      <c r="P44" s="94">
        <f>SUMIF(C145:C189,C20,P145:P189)</f>
        <v/>
      </c>
      <c r="Q44" s="94">
        <f>SUMIF(C145:C189,C20,Q145:Q189)</f>
        <v/>
      </c>
      <c r="R44" s="94">
        <f>SUMIF(C145:C189,C20,R145:R189)</f>
        <v/>
      </c>
      <c r="S44" s="95">
        <f>(D44+E44)*100/(H44-G44)</f>
        <v/>
      </c>
      <c r="T44" s="96">
        <f>(I44+J44)*100/(M44-L44)</f>
        <v/>
      </c>
      <c r="U44" s="97">
        <f>(N44+O44)*100/(R44-Q44)</f>
        <v/>
      </c>
      <c r="V44" s="95">
        <f>D44*100/(H44-G44)</f>
        <v/>
      </c>
      <c r="W44" s="97">
        <f>I44*100/(M44-L44)</f>
        <v/>
      </c>
      <c r="X44" s="98">
        <f>N44*100/(R44-Q44)</f>
        <v/>
      </c>
    </row>
    <row r="45" ht="11" customFormat="1" customHeight="1" s="89" thickBot="1">
      <c r="A45" s="239" t="inlineStr">
        <is>
          <t xml:space="preserve">Total:       </t>
        </is>
      </c>
      <c r="B45" s="294" t="n"/>
      <c r="C45" s="295" t="n"/>
      <c r="D45" s="99">
        <f>SUM(D39:D44)</f>
        <v/>
      </c>
      <c r="E45" s="99">
        <f>SUM(E39:E44)</f>
        <v/>
      </c>
      <c r="F45" s="99">
        <f>SUM(F39:F44)</f>
        <v/>
      </c>
      <c r="G45" s="99">
        <f>SUM(G39:G44)</f>
        <v/>
      </c>
      <c r="H45" s="99">
        <f>SUM(H39:H44)</f>
        <v/>
      </c>
      <c r="I45" s="99">
        <f>SUM(I39:I44)</f>
        <v/>
      </c>
      <c r="J45" s="99">
        <f>SUM(J39:J44)</f>
        <v/>
      </c>
      <c r="K45" s="99">
        <f>SUM(K39:K44)</f>
        <v/>
      </c>
      <c r="L45" s="99">
        <f>SUM(L39:L44)</f>
        <v/>
      </c>
      <c r="M45" s="99">
        <f>SUM(M39:M44)</f>
        <v/>
      </c>
      <c r="N45" s="99">
        <f>SUM(N39:N44)</f>
        <v/>
      </c>
      <c r="O45" s="99">
        <f>SUM(O39:O44)</f>
        <v/>
      </c>
      <c r="P45" s="99">
        <f>SUM(P39:P44)</f>
        <v/>
      </c>
      <c r="Q45" s="99">
        <f>SUM(Q39:Q44)</f>
        <v/>
      </c>
      <c r="R45" s="99">
        <f>SUM(R39:R44)</f>
        <v/>
      </c>
      <c r="S45" s="100">
        <f>SUM(S39:S44)/COUNTA(C15:C20)</f>
        <v/>
      </c>
      <c r="T45" s="100">
        <f>SUM(T39:T44)/COUNTA(C15:C20)</f>
        <v/>
      </c>
      <c r="U45" s="100">
        <f>SUM(U39:U44)/COUNTA(C15:C20)</f>
        <v/>
      </c>
      <c r="V45" s="100">
        <f>SUM(V39:V44)/COUNTA(C15:C20)</f>
        <v/>
      </c>
      <c r="W45" s="101">
        <f>SUM(W39:W44)/COUNTA(C15:C20)</f>
        <v/>
      </c>
      <c r="X45" s="102">
        <f>SUM(X39:X44)/COUNTA(C15:C20)</f>
        <v/>
      </c>
    </row>
    <row r="46" ht="15.75" customFormat="1" customHeight="1" s="89">
      <c r="A46" s="49" t="n"/>
      <c r="B46" s="49" t="n"/>
      <c r="C46" s="49" t="n"/>
      <c r="D46" s="49" t="n"/>
      <c r="E46" s="49" t="n"/>
      <c r="F46" s="49" t="n"/>
      <c r="G46" s="49" t="n"/>
      <c r="H46" s="50" t="n"/>
      <c r="I46" s="49" t="n"/>
      <c r="J46" s="49" t="n"/>
      <c r="K46" s="49" t="n"/>
      <c r="L46" s="49" t="n"/>
      <c r="M46" s="50" t="n"/>
      <c r="N46" s="49" t="n"/>
      <c r="O46" s="49" t="n"/>
      <c r="P46" s="49" t="n"/>
      <c r="Q46" s="49" t="n"/>
      <c r="R46" s="50" t="n"/>
      <c r="S46" s="50" t="n"/>
      <c r="T46" s="51" t="n"/>
      <c r="U46" s="49" t="n"/>
      <c r="V46" s="49" t="n"/>
      <c r="W46" s="49" t="n"/>
      <c r="X46" s="49" t="n"/>
    </row>
    <row r="47" ht="17.25" customFormat="1" customHeight="1" s="89" thickBot="1">
      <c r="A47" s="221" t="inlineStr">
        <is>
          <t>Round 1 in detail</t>
        </is>
      </c>
      <c r="C47" s="49" t="n"/>
      <c r="D47" s="49" t="n"/>
      <c r="E47" s="49" t="n"/>
      <c r="F47" s="49" t="n"/>
      <c r="G47" s="49" t="n"/>
      <c r="H47" s="50" t="n"/>
      <c r="I47" s="49" t="n"/>
      <c r="J47" s="49" t="n"/>
      <c r="K47" s="49" t="n"/>
      <c r="L47" s="49" t="n"/>
      <c r="M47" s="50" t="n"/>
      <c r="N47" s="49" t="n"/>
      <c r="O47" s="49" t="n"/>
      <c r="P47" s="49" t="n"/>
      <c r="Q47" s="49" t="n"/>
      <c r="R47" s="50" t="n"/>
      <c r="S47" s="50" t="n"/>
      <c r="T47" s="51" t="n"/>
      <c r="U47" s="49" t="n"/>
      <c r="V47" s="49" t="n"/>
      <c r="W47" s="49" t="n"/>
      <c r="X47" s="49" t="n"/>
    </row>
    <row r="48" ht="11" customHeight="1" thickBot="1">
      <c r="C48" s="49" t="n"/>
      <c r="D48" s="222" t="inlineStr">
        <is>
          <t>High</t>
        </is>
      </c>
      <c r="E48" s="289" t="n"/>
      <c r="F48" s="289" t="n"/>
      <c r="G48" s="289" t="n"/>
      <c r="H48" s="290" t="n"/>
      <c r="I48" s="222" t="inlineStr">
        <is>
          <t>Normal</t>
        </is>
      </c>
      <c r="J48" s="289" t="n"/>
      <c r="K48" s="289" t="n"/>
      <c r="L48" s="289" t="n"/>
      <c r="M48" s="290" t="n"/>
      <c r="N48" s="222" t="inlineStr">
        <is>
          <t>Low</t>
        </is>
      </c>
      <c r="O48" s="289" t="n"/>
      <c r="P48" s="289" t="n"/>
      <c r="Q48" s="289" t="n"/>
      <c r="R48" s="290" t="n"/>
      <c r="S48" s="241" t="inlineStr">
        <is>
          <t>Total TC</t>
        </is>
      </c>
      <c r="T48" s="201" t="inlineStr">
        <is>
          <t>Creator</t>
        </is>
      </c>
      <c r="U48" s="201" t="inlineStr">
        <is>
          <t>Tester</t>
        </is>
      </c>
      <c r="V48" s="297" t="inlineStr">
        <is>
          <t>Note</t>
        </is>
      </c>
      <c r="W48" s="281" t="n"/>
      <c r="X48" s="282" t="n"/>
    </row>
    <row r="49" ht="11" customHeight="1" thickBot="1">
      <c r="A49" s="104" t="inlineStr">
        <is>
          <t>No</t>
        </is>
      </c>
      <c r="B49" s="105" t="inlineStr">
        <is>
          <t>Module/Function</t>
        </is>
      </c>
      <c r="C49" s="106" t="inlineStr">
        <is>
          <t>Environment</t>
        </is>
      </c>
      <c r="D49" s="242" t="inlineStr">
        <is>
          <t>Pass</t>
        </is>
      </c>
      <c r="E49" s="202" t="inlineStr">
        <is>
          <t>Fail</t>
        </is>
      </c>
      <c r="F49" s="202" t="inlineStr">
        <is>
          <t>Untested</t>
        </is>
      </c>
      <c r="G49" s="202" t="inlineStr">
        <is>
          <t>Rejected</t>
        </is>
      </c>
      <c r="H49" s="107" t="inlineStr">
        <is>
          <t>Total</t>
        </is>
      </c>
      <c r="I49" s="226" t="inlineStr">
        <is>
          <t>Pass</t>
        </is>
      </c>
      <c r="J49" s="202" t="inlineStr">
        <is>
          <t>Fail</t>
        </is>
      </c>
      <c r="K49" s="202" t="inlineStr">
        <is>
          <t>Untested</t>
        </is>
      </c>
      <c r="L49" s="202" t="inlineStr">
        <is>
          <t>Rejected</t>
        </is>
      </c>
      <c r="M49" s="107" t="inlineStr">
        <is>
          <t>Total</t>
        </is>
      </c>
      <c r="N49" s="226" t="inlineStr">
        <is>
          <t>Pass</t>
        </is>
      </c>
      <c r="O49" s="202" t="inlineStr">
        <is>
          <t>Fail</t>
        </is>
      </c>
      <c r="P49" s="202" t="inlineStr">
        <is>
          <t>Untested</t>
        </is>
      </c>
      <c r="Q49" s="202" t="inlineStr">
        <is>
          <t>Rejected</t>
        </is>
      </c>
      <c r="R49" s="107" t="inlineStr">
        <is>
          <t>Total</t>
        </is>
      </c>
      <c r="S49" s="298" t="n"/>
      <c r="T49" s="293" t="n"/>
      <c r="U49" s="293" t="n"/>
      <c r="V49" s="299" t="n"/>
      <c r="X49" s="300" t="n"/>
    </row>
    <row r="50" ht="15.75" customHeight="1">
      <c r="A50" s="192" t="n">
        <v>1</v>
      </c>
      <c r="B50" s="195">
        <f>'Module 1'!B1</f>
        <v/>
      </c>
      <c r="C50" s="108">
        <f>C4</f>
        <v/>
      </c>
      <c r="D50" s="109">
        <f>COUNTIFS('Module 1'!J12:J698,"Pass",'Module 1'!H12:H698,"High")</f>
        <v/>
      </c>
      <c r="E50" s="110">
        <f>COUNTIFS('Module 1'!J12:J698,"Fail",'Module 1'!H12:H698,"High")</f>
        <v/>
      </c>
      <c r="F50" s="110">
        <f>H50-D50-E50-G50</f>
        <v/>
      </c>
      <c r="G50" s="110">
        <f>COUNTIFS('Module 1'!J12:J698,"Rejected",'Module 1'!H12:H698,"High")</f>
        <v/>
      </c>
      <c r="H50" s="111">
        <f>'Module 1'!H3</f>
        <v/>
      </c>
      <c r="I50" s="112">
        <f>COUNTIFS('Module 1'!J12:J698,"Pass",'Module 1'!H12:H698,"Normal")</f>
        <v/>
      </c>
      <c r="J50" s="113">
        <f>COUNTIFS('Module 1'!J12:J698,"Fail",'Module 1'!H12:H698,"Normal")</f>
        <v/>
      </c>
      <c r="K50" s="113">
        <f>M50-I50-J50-L50</f>
        <v/>
      </c>
      <c r="L50" s="113">
        <f>COUNTIFS('Module 1'!J12:J698,"Rejected",'Module 1'!H12:H698,"Normal")</f>
        <v/>
      </c>
      <c r="M50" s="114">
        <f>'Module 1'!I3</f>
        <v/>
      </c>
      <c r="N50" s="115">
        <f>COUNTIFS('Module 1'!J12:J698,"Pass",'Module 1'!H12:H698,"Low")</f>
        <v/>
      </c>
      <c r="O50" s="116">
        <f>COUNTIFS('Module 1'!J12:J698,"Fail",'Module 1'!H12:H698,"Low")</f>
        <v/>
      </c>
      <c r="P50" s="116">
        <f>R50-N50-O50-Q50</f>
        <v/>
      </c>
      <c r="Q50" s="116">
        <f>COUNTIFS('Module 1'!J12:J698,"Rejected",'Module 1'!H12:H698,"Low")</f>
        <v/>
      </c>
      <c r="R50" s="117">
        <f>'Module 1'!J3</f>
        <v/>
      </c>
      <c r="S50" s="118">
        <f>H50+M50+R50</f>
        <v/>
      </c>
      <c r="T50" s="236">
        <f>'Module 1'!E1</f>
        <v/>
      </c>
      <c r="U50" s="119">
        <f>'Module 1'!K12</f>
        <v/>
      </c>
      <c r="V50" s="301" t="n"/>
      <c r="W50" s="289" t="n"/>
      <c r="X50" s="302" t="n"/>
    </row>
    <row r="51" ht="15.75" customHeight="1">
      <c r="A51" s="303" t="n"/>
      <c r="B51" s="304" t="n"/>
      <c r="C51" s="58">
        <f>C5</f>
        <v/>
      </c>
      <c r="D51" s="120">
        <f>COUNTIFS('Module 1'!M12:M698,"Pass",'Module 1'!H12:H698,"High")</f>
        <v/>
      </c>
      <c r="E51" s="121">
        <f>COUNTIFS('Module 1'!M12:M698,"Fail",'Module 1'!H12:H698,"High")</f>
        <v/>
      </c>
      <c r="F51" s="121">
        <f>H51-D51-E51-G51</f>
        <v/>
      </c>
      <c r="G51" s="121">
        <f>COUNTIFS('Module 1'!M12:M698,"Rejected",'Module 1'!H12:H698,"High")</f>
        <v/>
      </c>
      <c r="H51" s="122">
        <f>$H$50</f>
        <v/>
      </c>
      <c r="I51" s="123">
        <f>COUNTIFS('Module 1'!M12:M698,"Pass",'Module 1'!H12:H698,"Normal")</f>
        <v/>
      </c>
      <c r="J51" s="124">
        <f>COUNTIFS('Module 1'!M12:M698,"Fail",'Module 1'!H12:H698,"Normal")</f>
        <v/>
      </c>
      <c r="K51" s="124">
        <f>M51-I51-J51-L51</f>
        <v/>
      </c>
      <c r="L51" s="124">
        <f>COUNTIFS('Module 1'!M12:M698,"Rejected",'Module 1'!H12:H698,"Normal")</f>
        <v/>
      </c>
      <c r="M51" s="125">
        <f>$M$50</f>
        <v/>
      </c>
      <c r="N51" s="126">
        <f>COUNTIFS('Module 1'!M12:M698,"Pass",'Module 1'!H12:H698,"Low")</f>
        <v/>
      </c>
      <c r="O51" s="127">
        <f>COUNTIFS('Module 1'!M12:M698,"Fail",'Module 1'!H12:H698,"Low")</f>
        <v/>
      </c>
      <c r="P51" s="127">
        <f>R51-N51-O51-Q51</f>
        <v/>
      </c>
      <c r="Q51" s="127">
        <f>COUNTIFS('Module 1'!M12:M698,"Rejected",'Module 1'!H12:H698,"Low")</f>
        <v/>
      </c>
      <c r="R51" s="128">
        <f>$R$50</f>
        <v/>
      </c>
      <c r="S51" s="129">
        <f>H51+M51+R51</f>
        <v/>
      </c>
      <c r="T51" s="304" t="n"/>
      <c r="U51" s="130">
        <f>'Module 1'!N12</f>
        <v/>
      </c>
      <c r="V51" s="305" t="n"/>
      <c r="W51" s="291" t="n"/>
      <c r="X51" s="306" t="n"/>
    </row>
    <row r="52">
      <c r="A52" s="303" t="n"/>
      <c r="B52" s="304" t="n"/>
      <c r="C52" s="58">
        <f>C6</f>
        <v/>
      </c>
      <c r="D52" s="120">
        <f>COUNTIFS('Module 1'!P12:P698,"Pass",'Module 1'!H12:H698,"High")</f>
        <v/>
      </c>
      <c r="E52" s="121">
        <f>COUNTIFS('Module 1'!P12:P698,"Fail",'Module 1'!H12:H698,"High")</f>
        <v/>
      </c>
      <c r="F52" s="121">
        <f>H52-D52-E52-G52</f>
        <v/>
      </c>
      <c r="G52" s="121">
        <f>COUNTIFS('Module 1'!P12:P698,"Rejected",'Module 1'!H12:H698,"High")</f>
        <v/>
      </c>
      <c r="H52" s="122">
        <f>$H$50</f>
        <v/>
      </c>
      <c r="I52" s="123">
        <f>COUNTIFS('Module 1'!P12:P698,"Pass",'Module 1'!H12:H698,"Normal")</f>
        <v/>
      </c>
      <c r="J52" s="124">
        <f>COUNTIFS('Module 1'!P12:P698,"Fail",'Module 1'!H12:H698,"Normal")</f>
        <v/>
      </c>
      <c r="K52" s="124">
        <f>M52-I52-J52-L52</f>
        <v/>
      </c>
      <c r="L52" s="124">
        <f>COUNTIFS('Module 1'!P12:P698,"Rejected",'Module 1'!H12:H698,"Normal")</f>
        <v/>
      </c>
      <c r="M52" s="125">
        <f>$M$50</f>
        <v/>
      </c>
      <c r="N52" s="126">
        <f>COUNTIFS('Module 1'!P12:P698,"Pass",'Module 1'!H12:H698,"Low")</f>
        <v/>
      </c>
      <c r="O52" s="127">
        <f>COUNTIFS('Module 1'!P12:P698,"Fail",'Module 1'!H12:H698,"Low")</f>
        <v/>
      </c>
      <c r="P52" s="127">
        <f>R52-N52-O52-Q52</f>
        <v/>
      </c>
      <c r="Q52" s="127">
        <f>COUNTIFS('Module 1'!P12:P698,"Rejected",'Module 1'!H12:H698,"Low")</f>
        <v/>
      </c>
      <c r="R52" s="128">
        <f>$R$50</f>
        <v/>
      </c>
      <c r="S52" s="129">
        <f>H52+M52+R52</f>
        <v/>
      </c>
      <c r="T52" s="304" t="n"/>
      <c r="U52" s="130">
        <f>'Module 1'!Q12</f>
        <v/>
      </c>
      <c r="V52" s="305" t="n"/>
      <c r="W52" s="291" t="n"/>
      <c r="X52" s="306" t="n"/>
    </row>
    <row r="53" ht="15.75" customFormat="1" customHeight="1" s="131">
      <c r="A53" s="303" t="n"/>
      <c r="B53" s="304" t="n"/>
      <c r="C53" s="58">
        <f>C7</f>
        <v/>
      </c>
      <c r="D53" s="120">
        <f>COUNTIFS('Module 1'!S12:S698,"Pass",'Module 1'!H12:H698,"High")</f>
        <v/>
      </c>
      <c r="E53" s="121">
        <f>COUNTIFS('Module 1'!S12:S698,"Fail",'Module 1'!H12:H698,"High")</f>
        <v/>
      </c>
      <c r="F53" s="121">
        <f>H53-D53-E53-G53</f>
        <v/>
      </c>
      <c r="G53" s="121">
        <f>COUNTIFS('Module 1'!S12:S698,"Rejected",'Module 1'!H12:H698,"High")</f>
        <v/>
      </c>
      <c r="H53" s="122">
        <f>$H$50</f>
        <v/>
      </c>
      <c r="I53" s="123">
        <f>COUNTIFS('Module 1'!S12:S698,"Pass",'Module 1'!H12:H698,"Normal")</f>
        <v/>
      </c>
      <c r="J53" s="124">
        <f>COUNTIFS('Module 1'!S12:S698,"Fail",'Module 1'!H12:H698,"Normal")</f>
        <v/>
      </c>
      <c r="K53" s="124">
        <f>M53-I53-J53-L53</f>
        <v/>
      </c>
      <c r="L53" s="124">
        <f>COUNTIFS('Module 1'!S12:S698,"Rejected",'Module 1'!H12:H698,"Normal")</f>
        <v/>
      </c>
      <c r="M53" s="125">
        <f>$M$50</f>
        <v/>
      </c>
      <c r="N53" s="126">
        <f>COUNTIFS('Module 1'!S12:S698,"Pass",'Module 1'!H12:H698,"Low")</f>
        <v/>
      </c>
      <c r="O53" s="127">
        <f>COUNTIFS('Module 1'!S12:S698,"Fail",'Module 1'!H12:H698,"Low")</f>
        <v/>
      </c>
      <c r="P53" s="127">
        <f>R53-N53-O53-Q53</f>
        <v/>
      </c>
      <c r="Q53" s="127">
        <f>COUNTIFS('Module 1'!S12:S698,"Rejected",'Module 1'!H12:H698,"Low")</f>
        <v/>
      </c>
      <c r="R53" s="128">
        <f>$R$50</f>
        <v/>
      </c>
      <c r="S53" s="129">
        <f>H53+M53+R53</f>
        <v/>
      </c>
      <c r="T53" s="304" t="n"/>
      <c r="U53" s="130">
        <f>'Module 1'!T12</f>
        <v/>
      </c>
      <c r="V53" s="305" t="n"/>
      <c r="W53" s="291" t="n"/>
      <c r="X53" s="306" t="n"/>
    </row>
    <row r="54" ht="15.75" customFormat="1" customHeight="1" s="89">
      <c r="A54" s="303" t="n"/>
      <c r="B54" s="304" t="n"/>
      <c r="C54" s="58">
        <f>C8</f>
        <v/>
      </c>
      <c r="D54" s="120">
        <f>COUNTIFS('Module 1'!V12:V698,"Pass",'Module 1'!H12:H698,"High")</f>
        <v/>
      </c>
      <c r="E54" s="121">
        <f>COUNTIFS('Module 1'!V12:V698,"Fail",'Module 1'!H12:H698,"High")</f>
        <v/>
      </c>
      <c r="F54" s="121">
        <f>H54-D54-E54-G54</f>
        <v/>
      </c>
      <c r="G54" s="121">
        <f>COUNTIFS('Module 1'!V12:V698,"Rejected",'Module 1'!H12:H698,"High")</f>
        <v/>
      </c>
      <c r="H54" s="122">
        <f>$H$50</f>
        <v/>
      </c>
      <c r="I54" s="123">
        <f>COUNTIFS('Module 1'!V12:V698,"Pass",'Module 1'!H12:H698,"Normal")</f>
        <v/>
      </c>
      <c r="J54" s="124">
        <f>COUNTIFS('Module 1'!V12:V698,"Fail",'Module 1'!H12:H698,"Normal")</f>
        <v/>
      </c>
      <c r="K54" s="124">
        <f>M54-I54-J54-L54</f>
        <v/>
      </c>
      <c r="L54" s="124">
        <f>COUNTIFS('Module 1'!V12:V698,"Rejected",'Module 1'!H12:H698,"Normal")</f>
        <v/>
      </c>
      <c r="M54" s="125">
        <f>$M$50</f>
        <v/>
      </c>
      <c r="N54" s="126">
        <f>COUNTIFS('Module 1'!V12:V698,"Pass",'Module 1'!H12:H698,"Low")</f>
        <v/>
      </c>
      <c r="O54" s="127">
        <f>COUNTIFS('Module 1'!V12:V698,"Fail",'Module 1'!H12:H698,"Low")</f>
        <v/>
      </c>
      <c r="P54" s="127">
        <f>R54-N54-O54-Q54</f>
        <v/>
      </c>
      <c r="Q54" s="127">
        <f>COUNTIFS('Module 1'!V12:V698,"Rejected",'Module 1'!H12:H698,"Low")</f>
        <v/>
      </c>
      <c r="R54" s="128">
        <f>$R$50</f>
        <v/>
      </c>
      <c r="S54" s="129">
        <f>H54+M54+R54</f>
        <v/>
      </c>
      <c r="T54" s="304" t="n"/>
      <c r="U54" s="130">
        <f>'Module 1'!W12</f>
        <v/>
      </c>
      <c r="V54" s="305" t="n"/>
      <c r="W54" s="291" t="n"/>
      <c r="X54" s="306" t="n"/>
    </row>
    <row r="55" ht="11" customFormat="1" customHeight="1" s="89" thickBot="1">
      <c r="A55" s="298" t="n"/>
      <c r="B55" s="293" t="n"/>
      <c r="C55" s="132">
        <f>C9</f>
        <v/>
      </c>
      <c r="D55" s="133">
        <f>COUNTIFS('Module 1'!Y12:Y698,"Pass",'Module 1'!H12:H698,"High")</f>
        <v/>
      </c>
      <c r="E55" s="134">
        <f>COUNTIFS('Module 1'!Y12:Y698,"Fail",'Module 1'!H12:H698,"High")</f>
        <v/>
      </c>
      <c r="F55" s="134">
        <f>H55-D55-E55-G55</f>
        <v/>
      </c>
      <c r="G55" s="134">
        <f>COUNTIFS('Module 1'!Y12:Y698,"Rejected",'Module 1'!H12:H698,"High")</f>
        <v/>
      </c>
      <c r="H55" s="122">
        <f>$H$50</f>
        <v/>
      </c>
      <c r="I55" s="136">
        <f>COUNTIFS('Module 1'!Y12:Y698,"Pass",'Module 1'!H12:H698,"Normal")</f>
        <v/>
      </c>
      <c r="J55" s="137">
        <f>COUNTIFS('Module 1'!Y12:Y698,"Fail",'Module 1'!H12:H698,"Normal")</f>
        <v/>
      </c>
      <c r="K55" s="137">
        <f>M55-I55-J55-L55</f>
        <v/>
      </c>
      <c r="L55" s="137">
        <f>COUNTIFS('Module 1'!Y12:Y698,"Rejected",'Module 1'!H12:H698,"Normal")</f>
        <v/>
      </c>
      <c r="M55" s="125">
        <f>$M$50</f>
        <v/>
      </c>
      <c r="N55" s="138">
        <f>COUNTIFS('Module 1'!Y12:Y698,"Pass",'Module 1'!H12:H698,"Low")</f>
        <v/>
      </c>
      <c r="O55" s="139">
        <f>COUNTIFS('Module 1'!Y12:Y698,"Fail",'Module 1'!H12:H698,"Low")</f>
        <v/>
      </c>
      <c r="P55" s="139">
        <f>R55-N55-O55-Q55</f>
        <v/>
      </c>
      <c r="Q55" s="139">
        <f>COUNTIFS('Module 1'!Y12:Y698,"Rejected",'Module 1'!H12:H698,"Low")</f>
        <v/>
      </c>
      <c r="R55" s="128">
        <f>$R$50</f>
        <v/>
      </c>
      <c r="S55" s="140">
        <f>H55+M55+R55</f>
        <v/>
      </c>
      <c r="T55" s="293" t="n"/>
      <c r="U55" s="141">
        <f>'Module 1'!AD12</f>
        <v/>
      </c>
      <c r="V55" s="307" t="n"/>
      <c r="W55" s="294" t="n"/>
      <c r="X55" s="308" t="n"/>
    </row>
    <row r="56" customFormat="1" s="89">
      <c r="A56" s="192" t="n">
        <v>2</v>
      </c>
      <c r="B56" s="195">
        <f>#REF!</f>
        <v/>
      </c>
      <c r="C56" s="108">
        <f>C4</f>
        <v/>
      </c>
      <c r="D56" s="109">
        <f>COUNTIFS(#REF!,"Pass",#REF!,"High")</f>
        <v/>
      </c>
      <c r="E56" s="110">
        <f>COUNTIFS(#REF!,E49,#REF!,"High")</f>
        <v/>
      </c>
      <c r="F56" s="110">
        <f>H56-D56-E56-G56</f>
        <v/>
      </c>
      <c r="G56" s="110">
        <f>COUNTIFS(#REF!,G49,#REF!,"High")</f>
        <v/>
      </c>
      <c r="H56" s="111">
        <f>#REF!</f>
        <v/>
      </c>
      <c r="I56" s="112">
        <f>COUNTIFS(#REF!,"Pass",#REF!,"Normal")</f>
        <v/>
      </c>
      <c r="J56" s="113">
        <f>COUNTIFS(#REF!,"Fail",#REF!,"Normal")</f>
        <v/>
      </c>
      <c r="K56" s="113">
        <f>M56-I56-J56-L56</f>
        <v/>
      </c>
      <c r="L56" s="113">
        <f>COUNTIFS(#REF!,"Rejected",#REF!,"Normal")</f>
        <v/>
      </c>
      <c r="M56" s="114">
        <f>#REF!</f>
        <v/>
      </c>
      <c r="N56" s="115">
        <f>COUNTIFS(#REF!,"Pass",#REF!,"Low")</f>
        <v/>
      </c>
      <c r="O56" s="116">
        <f>COUNTIFS(#REF!,"Fail",#REF!,"Low")</f>
        <v/>
      </c>
      <c r="P56" s="116">
        <f>R56-N56-O56-Q56</f>
        <v/>
      </c>
      <c r="Q56" s="116">
        <f>COUNTIFS(#REF!,"Rejected",#REF!,"Low")</f>
        <v/>
      </c>
      <c r="R56" s="117">
        <f>#REF!</f>
        <v/>
      </c>
      <c r="S56" s="118">
        <f>H56+M56+R56</f>
        <v/>
      </c>
      <c r="T56" s="236">
        <f>#REF!</f>
        <v/>
      </c>
      <c r="U56" s="119">
        <f>#REF!</f>
        <v/>
      </c>
      <c r="V56" s="301" t="n"/>
      <c r="W56" s="289" t="n"/>
      <c r="X56" s="302" t="n"/>
    </row>
    <row r="57" customFormat="1" s="89">
      <c r="A57" s="303" t="n"/>
      <c r="B57" s="304" t="n"/>
      <c r="C57" s="58">
        <f>C5</f>
        <v/>
      </c>
      <c r="D57" s="120">
        <f>COUNTIFS(#REF!,"Pass",#REF!,"High")</f>
        <v/>
      </c>
      <c r="E57" s="121">
        <f>COUNTIFS(#REF!,E14,#REF!,"High")</f>
        <v/>
      </c>
      <c r="F57" s="121">
        <f>H57-D57-E57-G57</f>
        <v/>
      </c>
      <c r="G57" s="121">
        <f>COUNTIFS(#REF!,G14,#REF!,"High")</f>
        <v/>
      </c>
      <c r="H57" s="122">
        <f>$H$56</f>
        <v/>
      </c>
      <c r="I57" s="123">
        <f>COUNTIFS(#REF!,"Pass",#REF!,"Normal")</f>
        <v/>
      </c>
      <c r="J57" s="124">
        <f>COUNTIFS(#REF!,E14,#REF!,"Normal")</f>
        <v/>
      </c>
      <c r="K57" s="124">
        <f>M57-I57-J57-L57</f>
        <v/>
      </c>
      <c r="L57" s="124">
        <f>COUNTIFS(#REF!,G14,#REF!,"Normal")</f>
        <v/>
      </c>
      <c r="M57" s="125">
        <f>$M$56</f>
        <v/>
      </c>
      <c r="N57" s="126">
        <f>COUNTIFS(#REF!,"Pass",#REF!,"Low")</f>
        <v/>
      </c>
      <c r="O57" s="127">
        <f>COUNTIFS(#REF!,E14,#REF!,"Low")</f>
        <v/>
      </c>
      <c r="P57" s="127">
        <f>R57-N57-O57-Q57</f>
        <v/>
      </c>
      <c r="Q57" s="127">
        <f>COUNTIFS(#REF!,G14,#REF!,"Low")</f>
        <v/>
      </c>
      <c r="R57" s="128">
        <f>$R$56</f>
        <v/>
      </c>
      <c r="S57" s="129">
        <f>H57+M57+R57</f>
        <v/>
      </c>
      <c r="T57" s="304" t="n"/>
      <c r="U57" s="130">
        <f>#REF!</f>
        <v/>
      </c>
      <c r="V57" s="305" t="n"/>
      <c r="W57" s="291" t="n"/>
      <c r="X57" s="306" t="n"/>
    </row>
    <row r="58" customFormat="1" s="89">
      <c r="A58" s="303" t="n"/>
      <c r="B58" s="304" t="n"/>
      <c r="C58" s="58">
        <f>C6</f>
        <v/>
      </c>
      <c r="D58" s="120">
        <f>COUNTIFS(#REF!,"Pass",#REF!,"High")</f>
        <v/>
      </c>
      <c r="E58" s="121">
        <f>COUNTIFS(#REF!,E14,#REF!,"High")</f>
        <v/>
      </c>
      <c r="F58" s="121">
        <f>H58-D58-E58-G58</f>
        <v/>
      </c>
      <c r="G58" s="121">
        <f>COUNTIFS(#REF!,G14,#REF!,"High")</f>
        <v/>
      </c>
      <c r="H58" s="122">
        <f>$H$56</f>
        <v/>
      </c>
      <c r="I58" s="123">
        <f>COUNTIFS(#REF!,"Pass",#REF!,"Normal")</f>
        <v/>
      </c>
      <c r="J58" s="124">
        <f>COUNTIFS(#REF!,E14,#REF!,"Normal")</f>
        <v/>
      </c>
      <c r="K58" s="124">
        <f>M58-I58-J58-L58</f>
        <v/>
      </c>
      <c r="L58" s="124">
        <f>COUNTIFS(#REF!,G14,#REF!,"Normal")</f>
        <v/>
      </c>
      <c r="M58" s="125">
        <f>$M$56</f>
        <v/>
      </c>
      <c r="N58" s="126">
        <f>COUNTIFS(#REF!,"Pass",#REF!,"Low")</f>
        <v/>
      </c>
      <c r="O58" s="127">
        <f>COUNTIFS(#REF!,E14,#REF!,"Low")</f>
        <v/>
      </c>
      <c r="P58" s="127">
        <f>R58-N58-O58-Q58</f>
        <v/>
      </c>
      <c r="Q58" s="127">
        <f>COUNTIFS(#REF!,G14,#REF!,"Low")</f>
        <v/>
      </c>
      <c r="R58" s="128">
        <f>$R$56</f>
        <v/>
      </c>
      <c r="S58" s="129">
        <f>H58+M58+R58</f>
        <v/>
      </c>
      <c r="T58" s="304" t="n"/>
      <c r="U58" s="130">
        <f>#REF!</f>
        <v/>
      </c>
      <c r="V58" s="305" t="n"/>
      <c r="W58" s="291" t="n"/>
      <c r="X58" s="306" t="n"/>
    </row>
    <row r="59" customFormat="1" s="89">
      <c r="A59" s="303" t="n"/>
      <c r="B59" s="304" t="n"/>
      <c r="C59" s="58">
        <f>C7</f>
        <v/>
      </c>
      <c r="D59" s="120">
        <f>COUNTIFS(#REF!,"Pass",#REF!,"High")</f>
        <v/>
      </c>
      <c r="E59" s="121">
        <f>COUNTIFS(#REF!,E14,#REF!,"High")</f>
        <v/>
      </c>
      <c r="F59" s="121">
        <f>H59-D59-E59-G59</f>
        <v/>
      </c>
      <c r="G59" s="121">
        <f>COUNTIFS(#REF!,G14,#REF!,"High")</f>
        <v/>
      </c>
      <c r="H59" s="122">
        <f>$H$56</f>
        <v/>
      </c>
      <c r="I59" s="123">
        <f>COUNTIFS(#REF!,"Pass",#REF!,"Normal")</f>
        <v/>
      </c>
      <c r="J59" s="124">
        <f>COUNTIFS(#REF!,E14,#REF!,"Normal")</f>
        <v/>
      </c>
      <c r="K59" s="124">
        <f>M59-I59-J59-L59</f>
        <v/>
      </c>
      <c r="L59" s="124">
        <f>COUNTIFS(#REF!,G14,#REF!,"Normal")</f>
        <v/>
      </c>
      <c r="M59" s="125">
        <f>$M$56</f>
        <v/>
      </c>
      <c r="N59" s="126">
        <f>COUNTIFS(#REF!,"Pass",#REF!,"Low")</f>
        <v/>
      </c>
      <c r="O59" s="127">
        <f>COUNTIFS(#REF!,E14,#REF!,"Low")</f>
        <v/>
      </c>
      <c r="P59" s="127">
        <f>R59-N59-O59-Q59</f>
        <v/>
      </c>
      <c r="Q59" s="127">
        <f>COUNTIFS(#REF!,G14,#REF!,"Low")</f>
        <v/>
      </c>
      <c r="R59" s="128">
        <f>$R$56</f>
        <v/>
      </c>
      <c r="S59" s="129">
        <f>H59+M59+R59</f>
        <v/>
      </c>
      <c r="T59" s="304" t="n"/>
      <c r="U59" s="130">
        <f>#REF!</f>
        <v/>
      </c>
      <c r="V59" s="305" t="n"/>
      <c r="W59" s="291" t="n"/>
      <c r="X59" s="306" t="n"/>
    </row>
    <row r="60" ht="15.75" customFormat="1" customHeight="1" s="89">
      <c r="A60" s="303" t="n"/>
      <c r="B60" s="304" t="n"/>
      <c r="C60" s="58">
        <f>C8</f>
        <v/>
      </c>
      <c r="D60" s="120">
        <f>COUNTIFS(#REF!,"Pass",#REF!,"High")</f>
        <v/>
      </c>
      <c r="E60" s="121">
        <f>COUNTIFS(#REF!,E14,#REF!,"High")</f>
        <v/>
      </c>
      <c r="F60" s="121">
        <f>H60-D60-E60-G60</f>
        <v/>
      </c>
      <c r="G60" s="121">
        <f>COUNTIFS(#REF!,G14,#REF!,"High")</f>
        <v/>
      </c>
      <c r="H60" s="122">
        <f>$H$56</f>
        <v/>
      </c>
      <c r="I60" s="123">
        <f>COUNTIFS(#REF!,"Pass",#REF!,"Normal")</f>
        <v/>
      </c>
      <c r="J60" s="124">
        <f>COUNTIFS(#REF!,E14,#REF!,"Normal")</f>
        <v/>
      </c>
      <c r="K60" s="124">
        <f>M60-I60-J60-L60</f>
        <v/>
      </c>
      <c r="L60" s="124">
        <f>COUNTIFS(#REF!,G14,#REF!,"Normal")</f>
        <v/>
      </c>
      <c r="M60" s="125">
        <f>$M$56</f>
        <v/>
      </c>
      <c r="N60" s="126">
        <f>COUNTIFS(#REF!,"Pass",#REF!,"Low")</f>
        <v/>
      </c>
      <c r="O60" s="127">
        <f>COUNTIFS(#REF!,E14,#REF!,"Low")</f>
        <v/>
      </c>
      <c r="P60" s="127">
        <f>R60-N60-O60-Q60</f>
        <v/>
      </c>
      <c r="Q60" s="127">
        <f>COUNTIFS(#REF!,G14,#REF!,"Low")</f>
        <v/>
      </c>
      <c r="R60" s="128">
        <f>$R$56</f>
        <v/>
      </c>
      <c r="S60" s="129">
        <f>H60+M60+R60</f>
        <v/>
      </c>
      <c r="T60" s="304" t="n"/>
      <c r="U60" s="130">
        <f>#REF!</f>
        <v/>
      </c>
      <c r="V60" s="305" t="n"/>
      <c r="W60" s="291" t="n"/>
      <c r="X60" s="306" t="n"/>
    </row>
    <row r="61" ht="11" customFormat="1" customHeight="1" s="89" thickBot="1">
      <c r="A61" s="298" t="n"/>
      <c r="B61" s="293" t="n"/>
      <c r="C61" s="132">
        <f>C9</f>
        <v/>
      </c>
      <c r="D61" s="133">
        <f>COUNTIFS(#REF!,"Pass",#REF!,"High")</f>
        <v/>
      </c>
      <c r="E61" s="134">
        <f>COUNTIFS(#REF!,E14,#REF!,"High")</f>
        <v/>
      </c>
      <c r="F61" s="134">
        <f>H61-D61-E61-G61</f>
        <v/>
      </c>
      <c r="G61" s="134">
        <f>COUNTIFS(#REF!,G14,#REF!,"High")</f>
        <v/>
      </c>
      <c r="H61" s="122">
        <f>$H$56</f>
        <v/>
      </c>
      <c r="I61" s="136">
        <f>COUNTIFS(#REF!,"Pass",#REF!,"Normal")</f>
        <v/>
      </c>
      <c r="J61" s="137">
        <f>COUNTIFS(#REF!,E14,#REF!,"Normal")</f>
        <v/>
      </c>
      <c r="K61" s="137">
        <f>M61-I61-J61-L61</f>
        <v/>
      </c>
      <c r="L61" s="137">
        <f>COUNTIFS(#REF!,G14,#REF!,"Normal")</f>
        <v/>
      </c>
      <c r="M61" s="125">
        <f>$M$56</f>
        <v/>
      </c>
      <c r="N61" s="138">
        <f>COUNTIFS(#REF!,"Pass",#REF!,"Low")</f>
        <v/>
      </c>
      <c r="O61" s="139">
        <f>COUNTIFS(#REF!,E14,#REF!,"Low")</f>
        <v/>
      </c>
      <c r="P61" s="139">
        <f>R61-N61-O61-Q61</f>
        <v/>
      </c>
      <c r="Q61" s="139">
        <f>COUNTIFS(#REF!,G14,#REF!,"Low")</f>
        <v/>
      </c>
      <c r="R61" s="128">
        <f>$R$56</f>
        <v/>
      </c>
      <c r="S61" s="140">
        <f>H61+M61+R61</f>
        <v/>
      </c>
      <c r="T61" s="293" t="n"/>
      <c r="U61" s="141">
        <f>#REF!</f>
        <v/>
      </c>
      <c r="V61" s="307" t="n"/>
      <c r="W61" s="294" t="n"/>
      <c r="X61" s="308" t="n"/>
    </row>
    <row r="62" ht="15.75" customFormat="1" customHeight="1" s="89">
      <c r="A62" s="192" t="n">
        <v>3</v>
      </c>
      <c r="B62" s="195">
        <f>#REF!</f>
        <v/>
      </c>
      <c r="C62" s="108">
        <f>C4</f>
        <v/>
      </c>
      <c r="D62" s="109">
        <f>COUNTIFS(#REF!,"Pass",#REF!,"High")</f>
        <v/>
      </c>
      <c r="E62" s="110">
        <f>COUNTIFS(#REF!,"Fail",#REF!,"High")</f>
        <v/>
      </c>
      <c r="F62" s="110">
        <f>H62-D62-E62-G62</f>
        <v/>
      </c>
      <c r="G62" s="110">
        <f>COUNTIFS(#REF!,"Rejected",#REF!,"High")</f>
        <v/>
      </c>
      <c r="H62" s="111">
        <f>#REF!</f>
        <v/>
      </c>
      <c r="I62" s="112">
        <f>COUNTIFS(#REF!,"Pass",#REF!,"Normal")</f>
        <v/>
      </c>
      <c r="J62" s="113">
        <f>COUNTIFS(#REF!,"Fail",#REF!,"Normal")</f>
        <v/>
      </c>
      <c r="K62" s="113">
        <f>M62-I62-J62-L62</f>
        <v/>
      </c>
      <c r="L62" s="113">
        <f>COUNTIFS(#REF!,"Rejected",#REF!,"Normal")</f>
        <v/>
      </c>
      <c r="M62" s="114">
        <f>#REF!</f>
        <v/>
      </c>
      <c r="N62" s="115">
        <f>COUNTIFS(#REF!,"Pass",#REF!,"Low")</f>
        <v/>
      </c>
      <c r="O62" s="116">
        <f>COUNTIFS(#REF!,"Fail",#REF!,"Low")</f>
        <v/>
      </c>
      <c r="P62" s="116">
        <f>R62-N62-O62-Q62</f>
        <v/>
      </c>
      <c r="Q62" s="116">
        <f>COUNTIFS(#REF!,"Rejected",#REF!,"Low")</f>
        <v/>
      </c>
      <c r="R62" s="117">
        <f>#REF!</f>
        <v/>
      </c>
      <c r="S62" s="142">
        <f>H62+M62+R62</f>
        <v/>
      </c>
      <c r="T62" s="236">
        <f>#REF!</f>
        <v/>
      </c>
      <c r="U62" s="119">
        <f>'Module 1'!K12</f>
        <v/>
      </c>
      <c r="V62" s="301" t="n"/>
      <c r="W62" s="289" t="n"/>
      <c r="X62" s="302" t="n"/>
    </row>
    <row r="63" customFormat="1" s="89">
      <c r="A63" s="303" t="n"/>
      <c r="B63" s="304" t="n"/>
      <c r="C63" s="58">
        <f>C5</f>
        <v/>
      </c>
      <c r="D63" s="120">
        <f>COUNTIFS(#REF!,"Pass",#REF!,"High")</f>
        <v/>
      </c>
      <c r="E63" s="121">
        <f>COUNTIFS(#REF!,"Fail",#REF!,"High")</f>
        <v/>
      </c>
      <c r="F63" s="121">
        <f>H63-D63-E63-G63</f>
        <v/>
      </c>
      <c r="G63" s="121">
        <f>COUNTIFS(#REF!,"Rejected",#REF!,"High")</f>
        <v/>
      </c>
      <c r="H63" s="122">
        <f>$H$62</f>
        <v/>
      </c>
      <c r="I63" s="123">
        <f>COUNTIFS(#REF!,"Pass",#REF!,"Normal")</f>
        <v/>
      </c>
      <c r="J63" s="124">
        <f>COUNTIFS(#REF!,"Fail",#REF!,"Normal")</f>
        <v/>
      </c>
      <c r="K63" s="124">
        <f>M63-I63-J63-L63</f>
        <v/>
      </c>
      <c r="L63" s="124">
        <f>COUNTIFS(#REF!,"Rejected",#REF!,"Normal")</f>
        <v/>
      </c>
      <c r="M63" s="125">
        <f>$M$62</f>
        <v/>
      </c>
      <c r="N63" s="126">
        <f>COUNTIFS(#REF!,"Pass",#REF!,"Low")</f>
        <v/>
      </c>
      <c r="O63" s="127">
        <f>COUNTIFS(#REF!,"Fail",#REF!,"Low")</f>
        <v/>
      </c>
      <c r="P63" s="127">
        <f>R63-N63-O63-Q63</f>
        <v/>
      </c>
      <c r="Q63" s="127">
        <f>COUNTIFS(#REF!,"Rejected",#REF!,"Low")</f>
        <v/>
      </c>
      <c r="R63" s="128">
        <f>$R$62</f>
        <v/>
      </c>
      <c r="S63" s="143">
        <f>H63+M63+R63</f>
        <v/>
      </c>
      <c r="T63" s="304" t="n"/>
      <c r="U63" s="130">
        <f>#REF!</f>
        <v/>
      </c>
      <c r="V63" s="305" t="n"/>
      <c r="W63" s="291" t="n"/>
      <c r="X63" s="306" t="n"/>
    </row>
    <row r="64" customFormat="1" s="89">
      <c r="A64" s="303" t="n"/>
      <c r="B64" s="304" t="n"/>
      <c r="C64" s="58">
        <f>C6</f>
        <v/>
      </c>
      <c r="D64" s="120">
        <f>COUNTIFS(#REF!,"Pass",#REF!,"High")</f>
        <v/>
      </c>
      <c r="E64" s="121">
        <f>COUNTIFS(#REF!,"Fail",#REF!,"High")</f>
        <v/>
      </c>
      <c r="F64" s="121">
        <f>H64-D64-E64-G64</f>
        <v/>
      </c>
      <c r="G64" s="121">
        <f>COUNTIFS(#REF!,"Rejected",#REF!,"High")</f>
        <v/>
      </c>
      <c r="H64" s="122">
        <f>$H$62</f>
        <v/>
      </c>
      <c r="I64" s="123">
        <f>COUNTIFS(#REF!,"Pass",#REF!,"Normal")</f>
        <v/>
      </c>
      <c r="J64" s="124">
        <f>COUNTIFS(#REF!,"Fail",#REF!,"Normal")</f>
        <v/>
      </c>
      <c r="K64" s="124">
        <f>M64-I64-J64-L64</f>
        <v/>
      </c>
      <c r="L64" s="124">
        <f>COUNTIFS(#REF!,"Rejected",#REF!,"Normal")</f>
        <v/>
      </c>
      <c r="M64" s="125">
        <f>$M$62</f>
        <v/>
      </c>
      <c r="N64" s="126">
        <f>COUNTIFS(#REF!,"Pass",#REF!,"Low")</f>
        <v/>
      </c>
      <c r="O64" s="127">
        <f>COUNTIFS(#REF!,"Fail",#REF!,"Low")</f>
        <v/>
      </c>
      <c r="P64" s="127">
        <f>R64-N64-O64-Q64</f>
        <v/>
      </c>
      <c r="Q64" s="127">
        <f>COUNTIFS(#REF!,"Rejected",#REF!,"Low")</f>
        <v/>
      </c>
      <c r="R64" s="128">
        <f>$R$62</f>
        <v/>
      </c>
      <c r="S64" s="143">
        <f>H64+M64+R64</f>
        <v/>
      </c>
      <c r="T64" s="304" t="n"/>
      <c r="U64" s="130">
        <f>#REF!</f>
        <v/>
      </c>
      <c r="V64" s="305" t="n"/>
      <c r="W64" s="291" t="n"/>
      <c r="X64" s="306" t="n"/>
    </row>
    <row r="65" customFormat="1" s="89">
      <c r="A65" s="303" t="n"/>
      <c r="B65" s="304" t="n"/>
      <c r="C65" s="58">
        <f>C7</f>
        <v/>
      </c>
      <c r="D65" s="120">
        <f>COUNTIFS(#REF!,"Pass",#REF!,"High")</f>
        <v/>
      </c>
      <c r="E65" s="121">
        <f>COUNTIFS(#REF!,"Fail",#REF!,"High")</f>
        <v/>
      </c>
      <c r="F65" s="121">
        <f>H65-D65-E65-G65</f>
        <v/>
      </c>
      <c r="G65" s="121">
        <f>COUNTIFS(#REF!,"Rejected",#REF!,"High")</f>
        <v/>
      </c>
      <c r="H65" s="122">
        <f>$H$62</f>
        <v/>
      </c>
      <c r="I65" s="123">
        <f>COUNTIFS(#REF!,"Pass",#REF!,"Normal")</f>
        <v/>
      </c>
      <c r="J65" s="124">
        <f>COUNTIFS(#REF!,"Fail",#REF!,"Normal")</f>
        <v/>
      </c>
      <c r="K65" s="124">
        <f>M65-I65-J65-L65</f>
        <v/>
      </c>
      <c r="L65" s="124">
        <f>COUNTIFS(#REF!,"Rejected",#REF!,"Normal")</f>
        <v/>
      </c>
      <c r="M65" s="125">
        <f>$M$62</f>
        <v/>
      </c>
      <c r="N65" s="126">
        <f>COUNTIFS(#REF!,"Pass",#REF!,"Low")</f>
        <v/>
      </c>
      <c r="O65" s="127">
        <f>COUNTIFS(#REF!,"Fail",#REF!,"Low")</f>
        <v/>
      </c>
      <c r="P65" s="127">
        <f>R65-N65-O65-Q65</f>
        <v/>
      </c>
      <c r="Q65" s="127">
        <f>COUNTIFS(#REF!,"Rejected",#REF!,"Low")</f>
        <v/>
      </c>
      <c r="R65" s="128">
        <f>$R$62</f>
        <v/>
      </c>
      <c r="S65" s="143">
        <f>H65+M65+R65</f>
        <v/>
      </c>
      <c r="T65" s="304" t="n"/>
      <c r="U65" s="130">
        <f>#REF!</f>
        <v/>
      </c>
      <c r="V65" s="305" t="n"/>
      <c r="W65" s="291" t="n"/>
      <c r="X65" s="306" t="n"/>
    </row>
    <row r="66" ht="15.75" customFormat="1" customHeight="1" s="89">
      <c r="A66" s="303" t="n"/>
      <c r="B66" s="304" t="n"/>
      <c r="C66" s="58">
        <f>C8</f>
        <v/>
      </c>
      <c r="D66" s="120">
        <f>COUNTIFS(#REF!,"Pass",#REF!,"High")</f>
        <v/>
      </c>
      <c r="E66" s="121">
        <f>COUNTIFS(#REF!,"Fail",#REF!,"High")</f>
        <v/>
      </c>
      <c r="F66" s="121">
        <f>H66-D66-E66-G66</f>
        <v/>
      </c>
      <c r="G66" s="121">
        <f>COUNTIFS(#REF!,"Rejected",#REF!,"High")</f>
        <v/>
      </c>
      <c r="H66" s="122">
        <f>$H$62</f>
        <v/>
      </c>
      <c r="I66" s="123">
        <f>COUNTIFS(#REF!,"Pass",#REF!,"Normal")</f>
        <v/>
      </c>
      <c r="J66" s="124">
        <f>COUNTIFS(#REF!,"Fail",#REF!,"Normal")</f>
        <v/>
      </c>
      <c r="K66" s="124">
        <f>M66-I66-J66-L66</f>
        <v/>
      </c>
      <c r="L66" s="124">
        <f>COUNTIFS(#REF!,"Rejected",#REF!,"Normal")</f>
        <v/>
      </c>
      <c r="M66" s="125">
        <f>$M$62</f>
        <v/>
      </c>
      <c r="N66" s="126">
        <f>COUNTIFS(#REF!,"Pass",#REF!,"Low")</f>
        <v/>
      </c>
      <c r="O66" s="127">
        <f>COUNTIFS(#REF!,"Fail",#REF!,"Low")</f>
        <v/>
      </c>
      <c r="P66" s="127">
        <f>R66-N66-O66-Q66</f>
        <v/>
      </c>
      <c r="Q66" s="127">
        <f>COUNTIFS(#REF!,"Rejected",#REF!,"Low")</f>
        <v/>
      </c>
      <c r="R66" s="128">
        <f>$R$62</f>
        <v/>
      </c>
      <c r="S66" s="143">
        <f>H66+M66+R66</f>
        <v/>
      </c>
      <c r="T66" s="304" t="n"/>
      <c r="U66" s="130">
        <f>#REF!</f>
        <v/>
      </c>
      <c r="V66" s="305" t="n"/>
      <c r="W66" s="291" t="n"/>
      <c r="X66" s="306" t="n"/>
    </row>
    <row r="67" ht="11" customFormat="1" customHeight="1" s="89" thickBot="1">
      <c r="A67" s="298" t="n"/>
      <c r="B67" s="293" t="n"/>
      <c r="C67" s="132">
        <f>C9</f>
        <v/>
      </c>
      <c r="D67" s="133">
        <f>COUNTIFS(#REF!,"Pass",#REF!,"High")</f>
        <v/>
      </c>
      <c r="E67" s="134">
        <f>COUNTIFS(#REF!,"Fail",#REF!,"High")</f>
        <v/>
      </c>
      <c r="F67" s="134">
        <f>H67-D67-E67-G67</f>
        <v/>
      </c>
      <c r="G67" s="134">
        <f>COUNTIFS(#REF!,"Rejected",#REF!,"High")</f>
        <v/>
      </c>
      <c r="H67" s="122">
        <f>$H$62</f>
        <v/>
      </c>
      <c r="I67" s="136">
        <f>COUNTIFS(#REF!,"Pass",#REF!,"Normal")</f>
        <v/>
      </c>
      <c r="J67" s="137">
        <f>COUNTIFS(#REF!,"Fail",#REF!,"Normal")</f>
        <v/>
      </c>
      <c r="K67" s="137">
        <f>M67-I67-J67-L67</f>
        <v/>
      </c>
      <c r="L67" s="137">
        <f>COUNTIFS(#REF!,"Rejected",#REF!,"Normal")</f>
        <v/>
      </c>
      <c r="M67" s="125">
        <f>$M$62</f>
        <v/>
      </c>
      <c r="N67" s="138">
        <f>COUNTIFS(#REF!,"Pass",#REF!,"Low")</f>
        <v/>
      </c>
      <c r="O67" s="139">
        <f>COUNTIFS(#REF!,"Fail",#REF!,"Low")</f>
        <v/>
      </c>
      <c r="P67" s="139">
        <f>R67-N67-O67-Q67</f>
        <v/>
      </c>
      <c r="Q67" s="139">
        <f>COUNTIFS(#REF!,"Rejected",#REF!,"Low")</f>
        <v/>
      </c>
      <c r="R67" s="128">
        <f>$R$62</f>
        <v/>
      </c>
      <c r="S67" s="144">
        <f>H67+M67+R67</f>
        <v/>
      </c>
      <c r="T67" s="293" t="n"/>
      <c r="U67" s="141">
        <f>#REF!</f>
        <v/>
      </c>
      <c r="V67" s="307" t="n"/>
      <c r="W67" s="294" t="n"/>
      <c r="X67" s="308" t="n"/>
    </row>
    <row r="68" customFormat="1" s="89">
      <c r="A68" s="192" t="n">
        <v>4</v>
      </c>
      <c r="B68" s="195">
        <f>#REF!</f>
        <v/>
      </c>
      <c r="C68" s="108">
        <f>C4</f>
        <v/>
      </c>
      <c r="D68" s="109">
        <f>COUNTIFS(#REF!,"Pass",#REF!,"High")</f>
        <v/>
      </c>
      <c r="E68" s="110">
        <f>COUNTIFS(#REF!,"Fail",#REF!,"High")</f>
        <v/>
      </c>
      <c r="F68" s="110">
        <f>H68-D68-E68-G68</f>
        <v/>
      </c>
      <c r="G68" s="110">
        <f>COUNTIFS(#REF!,"Rejected",#REF!,"High")</f>
        <v/>
      </c>
      <c r="H68" s="111">
        <f>#REF!</f>
        <v/>
      </c>
      <c r="I68" s="112">
        <f>COUNTIFS(#REF!,"Pass",#REF!,"Normal")</f>
        <v/>
      </c>
      <c r="J68" s="113">
        <f>COUNTIFS(#REF!,"Fail",#REF!,"Normal")</f>
        <v/>
      </c>
      <c r="K68" s="113">
        <f>M68-I68-J68-L68</f>
        <v/>
      </c>
      <c r="L68" s="113">
        <f>COUNTIFS(#REF!,"Rejected",#REF!,"Normal")</f>
        <v/>
      </c>
      <c r="M68" s="114">
        <f>#REF!</f>
        <v/>
      </c>
      <c r="N68" s="115">
        <f>COUNTIFS(#REF!,"Pass",#REF!,"Low")</f>
        <v/>
      </c>
      <c r="O68" s="116">
        <f>COUNTIFS(#REF!,"Fail",#REF!,"Low")</f>
        <v/>
      </c>
      <c r="P68" s="116">
        <f>R68-N68-O68-Q68</f>
        <v/>
      </c>
      <c r="Q68" s="116">
        <f>COUNTIFS(#REF!,"Rejected",#REF!,"Low")</f>
        <v/>
      </c>
      <c r="R68" s="117">
        <f>#REF!</f>
        <v/>
      </c>
      <c r="S68" s="142">
        <f>H68+M68+R68</f>
        <v/>
      </c>
      <c r="T68" s="236">
        <f>#REF!</f>
        <v/>
      </c>
      <c r="U68" s="119">
        <f>#REF!</f>
        <v/>
      </c>
      <c r="V68" s="301" t="n"/>
      <c r="W68" s="289" t="n"/>
      <c r="X68" s="302" t="n"/>
    </row>
    <row r="69" customFormat="1" s="89">
      <c r="A69" s="303" t="n"/>
      <c r="B69" s="304" t="n"/>
      <c r="C69" s="58">
        <f>C5</f>
        <v/>
      </c>
      <c r="D69" s="120">
        <f>COUNTIFS(#REF!,"Pass",#REF!,"High")</f>
        <v/>
      </c>
      <c r="E69" s="121">
        <f>COUNTIFS(#REF!,"Fail",#REF!,"High")</f>
        <v/>
      </c>
      <c r="F69" s="121">
        <f>H69-D69-E69-G69</f>
        <v/>
      </c>
      <c r="G69" s="121">
        <f>COUNTIFS(#REF!,"Rejected",#REF!,"High")</f>
        <v/>
      </c>
      <c r="H69" s="122">
        <f>$H$68</f>
        <v/>
      </c>
      <c r="I69" s="123">
        <f>COUNTIFS(#REF!,"Pass",#REF!,"Normal")</f>
        <v/>
      </c>
      <c r="J69" s="124">
        <f>COUNTIFS(#REF!,"Fail",#REF!,"Normal")</f>
        <v/>
      </c>
      <c r="K69" s="124">
        <f>M69-I69-J69-L69</f>
        <v/>
      </c>
      <c r="L69" s="124">
        <f>COUNTIFS(#REF!,"Rejected",#REF!,"Normal")</f>
        <v/>
      </c>
      <c r="M69" s="125">
        <f>$M$68</f>
        <v/>
      </c>
      <c r="N69" s="126">
        <f>COUNTIFS(#REF!,"Pass",#REF!,"Low")</f>
        <v/>
      </c>
      <c r="O69" s="127">
        <f>COUNTIFS(#REF!,"Fail",#REF!,"Low")</f>
        <v/>
      </c>
      <c r="P69" s="127">
        <f>R69-N69-O69-Q69</f>
        <v/>
      </c>
      <c r="Q69" s="127">
        <f>COUNTIFS(#REF!,"Rejected",#REF!,"Low")</f>
        <v/>
      </c>
      <c r="R69" s="128">
        <f>$R$68</f>
        <v/>
      </c>
      <c r="S69" s="143">
        <f>H69+M69+R69</f>
        <v/>
      </c>
      <c r="T69" s="304" t="n"/>
      <c r="U69" s="130">
        <f>#REF!</f>
        <v/>
      </c>
      <c r="V69" s="305" t="n"/>
      <c r="W69" s="291" t="n"/>
      <c r="X69" s="306" t="n"/>
    </row>
    <row r="70" customFormat="1" s="89">
      <c r="A70" s="303" t="n"/>
      <c r="B70" s="304" t="n"/>
      <c r="C70" s="58">
        <f>C6</f>
        <v/>
      </c>
      <c r="D70" s="120">
        <f>COUNTIFS(#REF!,"Pass",#REF!,"High")</f>
        <v/>
      </c>
      <c r="E70" s="121">
        <f>COUNTIFS(#REF!,"Fail",#REF!,"High")</f>
        <v/>
      </c>
      <c r="F70" s="121">
        <f>H70-D70-E70-G70</f>
        <v/>
      </c>
      <c r="G70" s="121">
        <f>COUNTIFS(#REF!,"Rejected",#REF!,"High")</f>
        <v/>
      </c>
      <c r="H70" s="122">
        <f>$H$68</f>
        <v/>
      </c>
      <c r="I70" s="123">
        <f>COUNTIFS(#REF!,"Pass",#REF!,"Normal")</f>
        <v/>
      </c>
      <c r="J70" s="124">
        <f>COUNTIFS(#REF!,"Fail",#REF!,"Normal")</f>
        <v/>
      </c>
      <c r="K70" s="124">
        <f>M70-I70-J70-L70</f>
        <v/>
      </c>
      <c r="L70" s="124">
        <f>COUNTIFS(#REF!,"Rejected",#REF!,"Normal")</f>
        <v/>
      </c>
      <c r="M70" s="125">
        <f>$M$68</f>
        <v/>
      </c>
      <c r="N70" s="126">
        <f>COUNTIFS(#REF!,"Pass",#REF!,"Low")</f>
        <v/>
      </c>
      <c r="O70" s="127">
        <f>COUNTIFS(#REF!,"Fail",#REF!,"Low")</f>
        <v/>
      </c>
      <c r="P70" s="127">
        <f>R70-N70-O70-Q70</f>
        <v/>
      </c>
      <c r="Q70" s="127">
        <f>COUNTIFS(#REF!,"Rejected",#REF!,"Low")</f>
        <v/>
      </c>
      <c r="R70" s="128">
        <f>$R$68</f>
        <v/>
      </c>
      <c r="S70" s="143">
        <f>H70+M70+R70</f>
        <v/>
      </c>
      <c r="T70" s="304" t="n"/>
      <c r="U70" s="130">
        <f>#REF!</f>
        <v/>
      </c>
      <c r="V70" s="305" t="n"/>
      <c r="W70" s="291" t="n"/>
      <c r="X70" s="306" t="n"/>
    </row>
    <row r="71" customFormat="1" s="89">
      <c r="A71" s="303" t="n"/>
      <c r="B71" s="304" t="n"/>
      <c r="C71" s="58">
        <f>C7</f>
        <v/>
      </c>
      <c r="D71" s="120">
        <f>COUNTIFS(#REF!,"Pass",#REF!,"High")</f>
        <v/>
      </c>
      <c r="E71" s="121">
        <f>COUNTIFS(#REF!,"Fail",#REF!,"High")</f>
        <v/>
      </c>
      <c r="F71" s="121">
        <f>H71-D71-E71-G71</f>
        <v/>
      </c>
      <c r="G71" s="121">
        <f>COUNTIFS(#REF!,"Rejected",#REF!,"High")</f>
        <v/>
      </c>
      <c r="H71" s="122">
        <f>$H$68</f>
        <v/>
      </c>
      <c r="I71" s="123">
        <f>COUNTIFS(#REF!,"Pass",#REF!,"Normal")</f>
        <v/>
      </c>
      <c r="J71" s="124">
        <f>COUNTIFS(#REF!,"Fail",#REF!,"Normal")</f>
        <v/>
      </c>
      <c r="K71" s="124">
        <f>M71-I71-J71-L71</f>
        <v/>
      </c>
      <c r="L71" s="124">
        <f>COUNTIFS(#REF!,"Rejected",#REF!,"Normal")</f>
        <v/>
      </c>
      <c r="M71" s="125">
        <f>$M$68</f>
        <v/>
      </c>
      <c r="N71" s="126">
        <f>COUNTIFS(#REF!,"Pass",#REF!,"Low")</f>
        <v/>
      </c>
      <c r="O71" s="127">
        <f>COUNTIFS(#REF!,"Fail",#REF!,"Low")</f>
        <v/>
      </c>
      <c r="P71" s="127">
        <f>R71-N71-O71-Q71</f>
        <v/>
      </c>
      <c r="Q71" s="127">
        <f>COUNTIFS(#REF!,"Rejected",#REF!,"Low")</f>
        <v/>
      </c>
      <c r="R71" s="128">
        <f>$R$68</f>
        <v/>
      </c>
      <c r="S71" s="143">
        <f>H71+M71+R71</f>
        <v/>
      </c>
      <c r="T71" s="304" t="n"/>
      <c r="U71" s="130">
        <f>#REF!</f>
        <v/>
      </c>
      <c r="V71" s="305" t="n"/>
      <c r="W71" s="291" t="n"/>
      <c r="X71" s="306" t="n"/>
    </row>
    <row r="72" customFormat="1" s="89">
      <c r="A72" s="303" t="n"/>
      <c r="B72" s="304" t="n"/>
      <c r="C72" s="58">
        <f>C8</f>
        <v/>
      </c>
      <c r="D72" s="120">
        <f>COUNTIFS(#REF!,"Pass",#REF!,"High")</f>
        <v/>
      </c>
      <c r="E72" s="121">
        <f>COUNTIFS(#REF!,"Fail",#REF!,"High")</f>
        <v/>
      </c>
      <c r="F72" s="121">
        <f>H72-D72-E72-G72</f>
        <v/>
      </c>
      <c r="G72" s="121">
        <f>COUNTIFS(#REF!,"Rejected",#REF!,"High")</f>
        <v/>
      </c>
      <c r="H72" s="122">
        <f>$H$68</f>
        <v/>
      </c>
      <c r="I72" s="123">
        <f>COUNTIFS(#REF!,"Pass",#REF!,"Normal")</f>
        <v/>
      </c>
      <c r="J72" s="124">
        <f>COUNTIFS(#REF!,"Fail",#REF!,"Normal")</f>
        <v/>
      </c>
      <c r="K72" s="124">
        <f>M72-I72-J72-L72</f>
        <v/>
      </c>
      <c r="L72" s="124">
        <f>COUNTIFS(#REF!,"Rejected",#REF!,"Normal")</f>
        <v/>
      </c>
      <c r="M72" s="125">
        <f>$M$68</f>
        <v/>
      </c>
      <c r="N72" s="126">
        <f>COUNTIFS(#REF!,"Pass",#REF!,"Low")</f>
        <v/>
      </c>
      <c r="O72" s="127">
        <f>COUNTIFS(#REF!,"Fail",#REF!,"Low")</f>
        <v/>
      </c>
      <c r="P72" s="127">
        <f>R72-N72-O72-Q72</f>
        <v/>
      </c>
      <c r="Q72" s="127">
        <f>COUNTIFS(#REF!,"Rejected",#REF!,"Low")</f>
        <v/>
      </c>
      <c r="R72" s="128">
        <f>$R$68</f>
        <v/>
      </c>
      <c r="S72" s="143">
        <f>H72+M72+R72</f>
        <v/>
      </c>
      <c r="T72" s="304" t="n"/>
      <c r="U72" s="130">
        <f>#REF!</f>
        <v/>
      </c>
      <c r="V72" s="305" t="n"/>
      <c r="W72" s="291" t="n"/>
      <c r="X72" s="306" t="n"/>
    </row>
    <row r="73" ht="11" customFormat="1" customHeight="1" s="89" thickBot="1">
      <c r="A73" s="298" t="n"/>
      <c r="B73" s="293" t="n"/>
      <c r="C73" s="132">
        <f>C9</f>
        <v/>
      </c>
      <c r="D73" s="133">
        <f>COUNTIFS(#REF!,"Pass",#REF!,"High")</f>
        <v/>
      </c>
      <c r="E73" s="134">
        <f>COUNTIFS(#REF!,"Fail",#REF!,"High")</f>
        <v/>
      </c>
      <c r="F73" s="134">
        <f>H73-D73-E73-G73</f>
        <v/>
      </c>
      <c r="G73" s="134">
        <f>COUNTIFS(#REF!,"Rejected",#REF!,"High")</f>
        <v/>
      </c>
      <c r="H73" s="122">
        <f>$H$68</f>
        <v/>
      </c>
      <c r="I73" s="136">
        <f>COUNTIFS(#REF!,"Pass",#REF!,"Normal")</f>
        <v/>
      </c>
      <c r="J73" s="137">
        <f>COUNTIFS(#REF!,"Fail",#REF!,"Normal")</f>
        <v/>
      </c>
      <c r="K73" s="137">
        <f>M73-I73-J73-L73</f>
        <v/>
      </c>
      <c r="L73" s="137">
        <f>COUNTIFS(#REF!,"Rejected",#REF!,"Normal")</f>
        <v/>
      </c>
      <c r="M73" s="125">
        <f>$M$68</f>
        <v/>
      </c>
      <c r="N73" s="138">
        <f>COUNTIFS(#REF!,"Pass",#REF!,"Low")</f>
        <v/>
      </c>
      <c r="O73" s="139">
        <f>COUNTIFS(#REF!,"Fail",#REF!,"Low")</f>
        <v/>
      </c>
      <c r="P73" s="139">
        <f>R73-N73-O73-Q73</f>
        <v/>
      </c>
      <c r="Q73" s="139">
        <f>COUNTIFS(#REF!,"Rejected",#REF!,"Low")</f>
        <v/>
      </c>
      <c r="R73" s="128">
        <f>$R$68</f>
        <v/>
      </c>
      <c r="S73" s="144">
        <f>H73+M73+R73</f>
        <v/>
      </c>
      <c r="T73" s="293" t="n"/>
      <c r="U73" s="141">
        <f>#REF!</f>
        <v/>
      </c>
      <c r="V73" s="307" t="n"/>
      <c r="W73" s="294" t="n"/>
      <c r="X73" s="308" t="n"/>
    </row>
    <row r="74" customFormat="1" s="89">
      <c r="A74" s="192" t="n">
        <v>5</v>
      </c>
      <c r="B74" s="195">
        <f>#REF!</f>
        <v/>
      </c>
      <c r="C74" s="108">
        <f>C4</f>
        <v/>
      </c>
      <c r="D74" s="109">
        <f>COUNTIFS(#REF!,"Pass",#REF!,"High")</f>
        <v/>
      </c>
      <c r="E74" s="110">
        <f>COUNTIFS(#REF!,"Fail",#REF!,"High")</f>
        <v/>
      </c>
      <c r="F74" s="110">
        <f>H74-D74-E74-G74</f>
        <v/>
      </c>
      <c r="G74" s="110">
        <f>COUNTIFS(#REF!,"Rejected",#REF!,"High")</f>
        <v/>
      </c>
      <c r="H74" s="111">
        <f>#REF!</f>
        <v/>
      </c>
      <c r="I74" s="112">
        <f>COUNTIFS(#REF!,"Pass",#REF!,"Normal")</f>
        <v/>
      </c>
      <c r="J74" s="113">
        <f>COUNTIFS(#REF!,"Fail",#REF!,"Normal")</f>
        <v/>
      </c>
      <c r="K74" s="113">
        <f>M74-I74-J74-L74</f>
        <v/>
      </c>
      <c r="L74" s="113">
        <f>COUNTIFS(#REF!,"Rejected",#REF!,"Normal")</f>
        <v/>
      </c>
      <c r="M74" s="114">
        <f>#REF!</f>
        <v/>
      </c>
      <c r="N74" s="115">
        <f>COUNTIFS(#REF!,"Pass",#REF!,"Low")</f>
        <v/>
      </c>
      <c r="O74" s="116">
        <f>COUNTIFS(#REF!,"Fail",#REF!,"Low")</f>
        <v/>
      </c>
      <c r="P74" s="116">
        <f>R74-N74-O74-Q74</f>
        <v/>
      </c>
      <c r="Q74" s="116">
        <f>COUNTIFS(#REF!,"Rejected",#REF!,"Low")</f>
        <v/>
      </c>
      <c r="R74" s="117">
        <f>#REF!</f>
        <v/>
      </c>
      <c r="S74" s="142">
        <f>H74+M74+R74</f>
        <v/>
      </c>
      <c r="T74" s="198">
        <f>#REF!</f>
        <v/>
      </c>
      <c r="U74" s="145">
        <f>#REF!</f>
        <v/>
      </c>
      <c r="V74" s="301" t="n"/>
      <c r="W74" s="289" t="n"/>
      <c r="X74" s="302" t="n"/>
    </row>
    <row r="75" customFormat="1" s="89">
      <c r="A75" s="303" t="n"/>
      <c r="B75" s="304" t="n"/>
      <c r="C75" s="58">
        <f>C5</f>
        <v/>
      </c>
      <c r="D75" s="120">
        <f>COUNTIFS(#REF!,"Pass",#REF!,"High")</f>
        <v/>
      </c>
      <c r="E75" s="121">
        <f>COUNTIFS(#REF!,"Fail",#REF!,"High")</f>
        <v/>
      </c>
      <c r="F75" s="121">
        <f>H75-D75-E75-G75</f>
        <v/>
      </c>
      <c r="G75" s="121">
        <f>COUNTIFS(#REF!,"Rejected",#REF!,"High")</f>
        <v/>
      </c>
      <c r="H75" s="122">
        <f>$H$74</f>
        <v/>
      </c>
      <c r="I75" s="123">
        <f>COUNTIFS(#REF!,"Pass",#REF!,"Normal")</f>
        <v/>
      </c>
      <c r="J75" s="124">
        <f>COUNTIFS(#REF!,"Fail",#REF!,"Normal")</f>
        <v/>
      </c>
      <c r="K75" s="124">
        <f>M75-I75-J75-L75</f>
        <v/>
      </c>
      <c r="L75" s="124">
        <f>COUNTIFS(#REF!,"Rejected",#REF!,"Normal")</f>
        <v/>
      </c>
      <c r="M75" s="125">
        <f>$M$74</f>
        <v/>
      </c>
      <c r="N75" s="126">
        <f>COUNTIFS(#REF!,"Pass",#REF!,"Low")</f>
        <v/>
      </c>
      <c r="O75" s="127">
        <f>COUNTIFS(#REF!,"Fail",#REF!,"Low")</f>
        <v/>
      </c>
      <c r="P75" s="127">
        <f>R75-N75-O75-Q75</f>
        <v/>
      </c>
      <c r="Q75" s="127">
        <f>COUNTIFS(#REF!,"Rejected",#REF!,"Low")</f>
        <v/>
      </c>
      <c r="R75" s="128">
        <f>$R$74</f>
        <v/>
      </c>
      <c r="S75" s="143">
        <f>H75+M75+R75</f>
        <v/>
      </c>
      <c r="T75" s="304" t="n"/>
      <c r="U75" s="146">
        <f>#REF!</f>
        <v/>
      </c>
      <c r="V75" s="305" t="n"/>
      <c r="W75" s="291" t="n"/>
      <c r="X75" s="306" t="n"/>
    </row>
    <row r="76" customFormat="1" s="89">
      <c r="A76" s="303" t="n"/>
      <c r="B76" s="304" t="n"/>
      <c r="C76" s="58">
        <f>C6</f>
        <v/>
      </c>
      <c r="D76" s="120">
        <f>COUNTIFS(#REF!,"Pass",#REF!,"High")</f>
        <v/>
      </c>
      <c r="E76" s="121">
        <f>COUNTIFS(#REF!,"Fail",#REF!,"High")</f>
        <v/>
      </c>
      <c r="F76" s="121">
        <f>H76-D76-E76-G76</f>
        <v/>
      </c>
      <c r="G76" s="121">
        <f>COUNTIFS(#REF!,"Rejected",#REF!,"High")</f>
        <v/>
      </c>
      <c r="H76" s="122">
        <f>$H$74</f>
        <v/>
      </c>
      <c r="I76" s="123">
        <f>COUNTIFS(#REF!,"Pass",#REF!,"Normal")</f>
        <v/>
      </c>
      <c r="J76" s="124">
        <f>COUNTIFS(#REF!,"Fail",#REF!,"Normal")</f>
        <v/>
      </c>
      <c r="K76" s="124">
        <f>M76-I76-J76-L76</f>
        <v/>
      </c>
      <c r="L76" s="124">
        <f>COUNTIFS(#REF!,"Rejected",#REF!,"Normal")</f>
        <v/>
      </c>
      <c r="M76" s="125">
        <f>$M$74</f>
        <v/>
      </c>
      <c r="N76" s="126">
        <f>COUNTIFS(#REF!,"Pass",#REF!,"Low")</f>
        <v/>
      </c>
      <c r="O76" s="127">
        <f>COUNTIFS(#REF!,"Fail",#REF!,"Low")</f>
        <v/>
      </c>
      <c r="P76" s="127">
        <f>R76-N76-O76-Q76</f>
        <v/>
      </c>
      <c r="Q76" s="127">
        <f>COUNTIFS(#REF!,"Rejected",#REF!,"Low")</f>
        <v/>
      </c>
      <c r="R76" s="128">
        <f>$R$74</f>
        <v/>
      </c>
      <c r="S76" s="143">
        <f>H76+M76+R76</f>
        <v/>
      </c>
      <c r="T76" s="304" t="n"/>
      <c r="U76" s="146">
        <f>#REF!</f>
        <v/>
      </c>
      <c r="V76" s="305" t="n"/>
      <c r="W76" s="291" t="n"/>
      <c r="X76" s="306" t="n"/>
    </row>
    <row r="77" customFormat="1" s="89">
      <c r="A77" s="303" t="n"/>
      <c r="B77" s="304" t="n"/>
      <c r="C77" s="58">
        <f>C7</f>
        <v/>
      </c>
      <c r="D77" s="120">
        <f>COUNTIFS(#REF!,"Pass",#REF!,"High")</f>
        <v/>
      </c>
      <c r="E77" s="121">
        <f>COUNTIFS(#REF!,"Fail",#REF!,"High")</f>
        <v/>
      </c>
      <c r="F77" s="121">
        <f>H77-D77-E77-G77</f>
        <v/>
      </c>
      <c r="G77" s="121">
        <f>COUNTIFS(#REF!,"Rejected",#REF!,"High")</f>
        <v/>
      </c>
      <c r="H77" s="122">
        <f>$H$74</f>
        <v/>
      </c>
      <c r="I77" s="123">
        <f>COUNTIFS(#REF!,"Pass",#REF!,"Normal")</f>
        <v/>
      </c>
      <c r="J77" s="124">
        <f>COUNTIFS(#REF!,"Fail",#REF!,"Normal")</f>
        <v/>
      </c>
      <c r="K77" s="124">
        <f>M77-I77-J77-L77</f>
        <v/>
      </c>
      <c r="L77" s="124">
        <f>COUNTIFS(#REF!,"Rejected",#REF!,"Normal")</f>
        <v/>
      </c>
      <c r="M77" s="125">
        <f>$M$74</f>
        <v/>
      </c>
      <c r="N77" s="126">
        <f>COUNTIFS(#REF!,"Pass",#REF!,"Low")</f>
        <v/>
      </c>
      <c r="O77" s="127">
        <f>COUNTIFS(#REF!,"Fail",#REF!,"Low")</f>
        <v/>
      </c>
      <c r="P77" s="127">
        <f>R77-N77-O77-Q77</f>
        <v/>
      </c>
      <c r="Q77" s="127">
        <f>COUNTIFS(#REF!,"Rejected",#REF!,"Low")</f>
        <v/>
      </c>
      <c r="R77" s="128">
        <f>$R$74</f>
        <v/>
      </c>
      <c r="S77" s="143">
        <f>H77+M77+R77</f>
        <v/>
      </c>
      <c r="T77" s="304" t="n"/>
      <c r="U77" s="146">
        <f>#REF!</f>
        <v/>
      </c>
      <c r="V77" s="305" t="n"/>
      <c r="W77" s="291" t="n"/>
      <c r="X77" s="306" t="n"/>
    </row>
    <row r="78" customFormat="1" s="89">
      <c r="A78" s="303" t="n"/>
      <c r="B78" s="304" t="n"/>
      <c r="C78" s="58">
        <f>C8</f>
        <v/>
      </c>
      <c r="D78" s="120">
        <f>COUNTIFS(#REF!,"Pass",#REF!,"High")</f>
        <v/>
      </c>
      <c r="E78" s="121">
        <f>COUNTIFS(#REF!,"Fail",#REF!,"High")</f>
        <v/>
      </c>
      <c r="F78" s="121">
        <f>H78-D78-E78-G78</f>
        <v/>
      </c>
      <c r="G78" s="121">
        <f>COUNTIFS(#REF!,"Rejected",#REF!,"High")</f>
        <v/>
      </c>
      <c r="H78" s="122">
        <f>$H$74</f>
        <v/>
      </c>
      <c r="I78" s="123">
        <f>COUNTIFS(#REF!,"Pass",#REF!,"Normal")</f>
        <v/>
      </c>
      <c r="J78" s="124">
        <f>COUNTIFS(#REF!,"Fail",#REF!,"Normal")</f>
        <v/>
      </c>
      <c r="K78" s="124">
        <f>M78-I78-J78-L78</f>
        <v/>
      </c>
      <c r="L78" s="124">
        <f>COUNTIFS(#REF!,"Rejected",#REF!,"Normal")</f>
        <v/>
      </c>
      <c r="M78" s="125">
        <f>$M$74</f>
        <v/>
      </c>
      <c r="N78" s="126">
        <f>COUNTIFS(#REF!,"Pass",#REF!,"Low")</f>
        <v/>
      </c>
      <c r="O78" s="127">
        <f>COUNTIFS(#REF!,"Fail",#REF!,"Low")</f>
        <v/>
      </c>
      <c r="P78" s="127">
        <f>R78-N78-O78-Q78</f>
        <v/>
      </c>
      <c r="Q78" s="127">
        <f>COUNTIFS(#REF!,"Rejected",#REF!,"Low")</f>
        <v/>
      </c>
      <c r="R78" s="128">
        <f>$R$74</f>
        <v/>
      </c>
      <c r="S78" s="143">
        <f>H78+M78+R78</f>
        <v/>
      </c>
      <c r="T78" s="304" t="n"/>
      <c r="U78" s="146">
        <f>#REF!</f>
        <v/>
      </c>
      <c r="V78" s="305" t="n"/>
      <c r="W78" s="291" t="n"/>
      <c r="X78" s="306" t="n"/>
    </row>
    <row r="79" ht="11" customFormat="1" customHeight="1" s="89" thickBot="1">
      <c r="A79" s="298" t="n"/>
      <c r="B79" s="293" t="n"/>
      <c r="C79" s="132">
        <f>C9</f>
        <v/>
      </c>
      <c r="D79" s="133">
        <f>COUNTIFS(#REF!,"Pass",#REF!,"High")</f>
        <v/>
      </c>
      <c r="E79" s="134">
        <f>COUNTIFS(#REF!,"Fail",#REF!,"High")</f>
        <v/>
      </c>
      <c r="F79" s="134">
        <f>H79-D79-E79-G79</f>
        <v/>
      </c>
      <c r="G79" s="134">
        <f>COUNTIFS(#REF!,"Rejected",#REF!,"High")</f>
        <v/>
      </c>
      <c r="H79" s="122">
        <f>$H$74</f>
        <v/>
      </c>
      <c r="I79" s="136">
        <f>COUNTIFS(#REF!,"Pass",#REF!,"Normal")</f>
        <v/>
      </c>
      <c r="J79" s="137">
        <f>COUNTIFS(#REF!,"Fail",#REF!,"Normal")</f>
        <v/>
      </c>
      <c r="K79" s="137">
        <f>M79-I79-J79-L79</f>
        <v/>
      </c>
      <c r="L79" s="137">
        <f>COUNTIFS(#REF!,"Rejected",#REF!,"Normal")</f>
        <v/>
      </c>
      <c r="M79" s="125">
        <f>$M$74</f>
        <v/>
      </c>
      <c r="N79" s="138">
        <f>COUNTIFS(#REF!,"Pass",#REF!,"Low")</f>
        <v/>
      </c>
      <c r="O79" s="139">
        <f>COUNTIFS(#REF!,"Fail",#REF!,"Low")</f>
        <v/>
      </c>
      <c r="P79" s="139">
        <f>R79-N79-O79-Q79</f>
        <v/>
      </c>
      <c r="Q79" s="139">
        <f>COUNTIFS(#REF!,"Rejected",#REF!,"Low")</f>
        <v/>
      </c>
      <c r="R79" s="128">
        <f>$R$74</f>
        <v/>
      </c>
      <c r="S79" s="144">
        <f>H79+M79+R79</f>
        <v/>
      </c>
      <c r="T79" s="293" t="n"/>
      <c r="U79" s="147">
        <f>#REF!</f>
        <v/>
      </c>
      <c r="V79" s="307" t="n"/>
      <c r="W79" s="294" t="n"/>
      <c r="X79" s="308" t="n"/>
    </row>
    <row r="80" customFormat="1" s="89">
      <c r="A80" s="192" t="n">
        <v>6</v>
      </c>
      <c r="B80" s="195">
        <f>#REF!</f>
        <v/>
      </c>
      <c r="C80" s="108">
        <f>C4</f>
        <v/>
      </c>
      <c r="D80" s="109">
        <f>COUNTIFS(#REF!,"Pass",#REF!,"High")</f>
        <v/>
      </c>
      <c r="E80" s="110">
        <f>COUNTIFS(#REF!,"Fail",#REF!,"High")</f>
        <v/>
      </c>
      <c r="F80" s="110">
        <f>H80-D80-E80-G80</f>
        <v/>
      </c>
      <c r="G80" s="110">
        <f>COUNTIFS(#REF!,"Rejected",#REF!,"High")</f>
        <v/>
      </c>
      <c r="H80" s="111">
        <f>#REF!</f>
        <v/>
      </c>
      <c r="I80" s="112">
        <f>COUNTIFS(#REF!,"Pass",#REF!,"Normal")</f>
        <v/>
      </c>
      <c r="J80" s="113">
        <f>COUNTIFS(#REF!,"Fail",#REF!,"Normal")</f>
        <v/>
      </c>
      <c r="K80" s="113">
        <f>M80-I80-J80-L80</f>
        <v/>
      </c>
      <c r="L80" s="113">
        <f>COUNTIFS(#REF!,"Rejected",#REF!,"Normal")</f>
        <v/>
      </c>
      <c r="M80" s="114">
        <f>#REF!</f>
        <v/>
      </c>
      <c r="N80" s="115">
        <f>COUNTIFS(#REF!,"Pass",#REF!,"Low")</f>
        <v/>
      </c>
      <c r="O80" s="116">
        <f>COUNTIFS(#REF!,"Fail",#REF!,"Low")</f>
        <v/>
      </c>
      <c r="P80" s="116">
        <f>R80-N80-O80-Q80</f>
        <v/>
      </c>
      <c r="Q80" s="116">
        <f>COUNTIFS(#REF!,"Rejected",#REF!,"Low")</f>
        <v/>
      </c>
      <c r="R80" s="117">
        <f>#REF!</f>
        <v/>
      </c>
      <c r="S80" s="142">
        <f>H80+M80+R80</f>
        <v/>
      </c>
      <c r="T80" s="198">
        <f>#REF!</f>
        <v/>
      </c>
      <c r="U80" s="145">
        <f>#REF!</f>
        <v/>
      </c>
      <c r="V80" s="301" t="n"/>
      <c r="W80" s="289" t="n"/>
      <c r="X80" s="302" t="n"/>
    </row>
    <row r="81" customFormat="1" s="89">
      <c r="A81" s="303" t="n"/>
      <c r="B81" s="304" t="n"/>
      <c r="C81" s="58">
        <f>C5</f>
        <v/>
      </c>
      <c r="D81" s="120">
        <f>COUNTIFS(#REF!,"Pass",#REF!,"High")</f>
        <v/>
      </c>
      <c r="E81" s="121">
        <f>COUNTIFS(#REF!,"Fail",#REF!,"High")</f>
        <v/>
      </c>
      <c r="F81" s="121">
        <f>H81-D81-E81-G81</f>
        <v/>
      </c>
      <c r="G81" s="121">
        <f>COUNTIFS(#REF!,"Rejected",#REF!,"High")</f>
        <v/>
      </c>
      <c r="H81" s="122">
        <f>$H$80</f>
        <v/>
      </c>
      <c r="I81" s="123">
        <f>COUNTIFS(#REF!,"Pass",#REF!,"Normal")</f>
        <v/>
      </c>
      <c r="J81" s="124">
        <f>COUNTIFS(#REF!,"Fail",#REF!,"Normal")</f>
        <v/>
      </c>
      <c r="K81" s="124">
        <f>M81-I81-J81-L81</f>
        <v/>
      </c>
      <c r="L81" s="124">
        <f>COUNTIFS(#REF!,"Rejected",#REF!,"Normal")</f>
        <v/>
      </c>
      <c r="M81" s="125">
        <f>$M$80</f>
        <v/>
      </c>
      <c r="N81" s="126">
        <f>COUNTIFS(#REF!,"Pass",#REF!,"Low")</f>
        <v/>
      </c>
      <c r="O81" s="127">
        <f>COUNTIFS(#REF!,"Fail",#REF!,"Low")</f>
        <v/>
      </c>
      <c r="P81" s="127">
        <f>R81-N81-O81-Q81</f>
        <v/>
      </c>
      <c r="Q81" s="127">
        <f>COUNTIFS(#REF!,"Rejected",#REF!,"Low")</f>
        <v/>
      </c>
      <c r="R81" s="128">
        <f>$R$80</f>
        <v/>
      </c>
      <c r="S81" s="143">
        <f>H81+M81+R81</f>
        <v/>
      </c>
      <c r="T81" s="304" t="n"/>
      <c r="U81" s="146">
        <f>#REF!</f>
        <v/>
      </c>
      <c r="V81" s="305" t="n"/>
      <c r="W81" s="291" t="n"/>
      <c r="X81" s="306" t="n"/>
    </row>
    <row r="82" customFormat="1" s="89">
      <c r="A82" s="303" t="n"/>
      <c r="B82" s="304" t="n"/>
      <c r="C82" s="58">
        <f>C6</f>
        <v/>
      </c>
      <c r="D82" s="120">
        <f>COUNTIFS(#REF!,"Pass",#REF!,"High")</f>
        <v/>
      </c>
      <c r="E82" s="121">
        <f>COUNTIFS(#REF!,"Fail",#REF!,"High")</f>
        <v/>
      </c>
      <c r="F82" s="121">
        <f>H82-D82-E82-G82</f>
        <v/>
      </c>
      <c r="G82" s="121">
        <f>COUNTIFS(#REF!,"Rejected",#REF!,"High")</f>
        <v/>
      </c>
      <c r="H82" s="122">
        <f>$H$80</f>
        <v/>
      </c>
      <c r="I82" s="123">
        <f>COUNTIFS(#REF!,"Pass",#REF!,"Normal")</f>
        <v/>
      </c>
      <c r="J82" s="124">
        <f>COUNTIFS(#REF!,"Fail",#REF!,"Normal")</f>
        <v/>
      </c>
      <c r="K82" s="124">
        <f>M82-I82-J82-L82</f>
        <v/>
      </c>
      <c r="L82" s="124">
        <f>COUNTIFS(#REF!,"Rejected",#REF!,"Normal")</f>
        <v/>
      </c>
      <c r="M82" s="125">
        <f>$M$80</f>
        <v/>
      </c>
      <c r="N82" s="126">
        <f>COUNTIFS(#REF!,"Pass",#REF!,"Low")</f>
        <v/>
      </c>
      <c r="O82" s="127">
        <f>COUNTIFS(#REF!,"Fail",#REF!,"Low")</f>
        <v/>
      </c>
      <c r="P82" s="127">
        <f>R82-N82-O82-Q82</f>
        <v/>
      </c>
      <c r="Q82" s="127">
        <f>COUNTIFS(#REF!,"Rejected",#REF!,"Low")</f>
        <v/>
      </c>
      <c r="R82" s="128">
        <f>$R$80</f>
        <v/>
      </c>
      <c r="S82" s="143">
        <f>H82+M82+R82</f>
        <v/>
      </c>
      <c r="T82" s="304" t="n"/>
      <c r="U82" s="146">
        <f>#REF!</f>
        <v/>
      </c>
      <c r="V82" s="305" t="n"/>
      <c r="W82" s="291" t="n"/>
      <c r="X82" s="306" t="n"/>
    </row>
    <row r="83" customFormat="1" s="89">
      <c r="A83" s="303" t="n"/>
      <c r="B83" s="304" t="n"/>
      <c r="C83" s="58">
        <f>C7</f>
        <v/>
      </c>
      <c r="D83" s="120">
        <f>COUNTIFS(#REF!,"Pass",#REF!,"High")</f>
        <v/>
      </c>
      <c r="E83" s="121">
        <f>COUNTIFS(#REF!,"Fail",#REF!,"High")</f>
        <v/>
      </c>
      <c r="F83" s="121">
        <f>H83-D83-E83-G83</f>
        <v/>
      </c>
      <c r="G83" s="121">
        <f>COUNTIFS(#REF!,"Rejected",#REF!,"High")</f>
        <v/>
      </c>
      <c r="H83" s="122">
        <f>$H$80</f>
        <v/>
      </c>
      <c r="I83" s="123">
        <f>COUNTIFS(#REF!,"Pass",#REF!,"Normal")</f>
        <v/>
      </c>
      <c r="J83" s="124">
        <f>COUNTIFS(#REF!,"Fail",#REF!,"Normal")</f>
        <v/>
      </c>
      <c r="K83" s="124">
        <f>M83-I83-J83-L83</f>
        <v/>
      </c>
      <c r="L83" s="124">
        <f>COUNTIFS(#REF!,"Rejected",#REF!,"Normal")</f>
        <v/>
      </c>
      <c r="M83" s="125">
        <f>$M$80</f>
        <v/>
      </c>
      <c r="N83" s="126">
        <f>COUNTIFS(#REF!,"Pass",#REF!,"Low")</f>
        <v/>
      </c>
      <c r="O83" s="127">
        <f>COUNTIFS(#REF!,"Fail",#REF!,"Low")</f>
        <v/>
      </c>
      <c r="P83" s="127">
        <f>R83-N83-O83-Q83</f>
        <v/>
      </c>
      <c r="Q83" s="127">
        <f>COUNTIFS(#REF!,"Rejected",#REF!,"Low")</f>
        <v/>
      </c>
      <c r="R83" s="128">
        <f>$R$80</f>
        <v/>
      </c>
      <c r="S83" s="143">
        <f>H83+M83+R83</f>
        <v/>
      </c>
      <c r="T83" s="304" t="n"/>
      <c r="U83" s="146">
        <f>#REF!</f>
        <v/>
      </c>
      <c r="V83" s="305" t="n"/>
      <c r="W83" s="291" t="n"/>
      <c r="X83" s="306" t="n"/>
    </row>
    <row r="84" customFormat="1" s="89">
      <c r="A84" s="303" t="n"/>
      <c r="B84" s="304" t="n"/>
      <c r="C84" s="58">
        <f>C8</f>
        <v/>
      </c>
      <c r="D84" s="120">
        <f>COUNTIFS(#REF!,"Pass",#REF!,"High")</f>
        <v/>
      </c>
      <c r="E84" s="121">
        <f>COUNTIFS(#REF!,"Fail",#REF!,"High")</f>
        <v/>
      </c>
      <c r="F84" s="121">
        <f>H84-D84-E84-G84</f>
        <v/>
      </c>
      <c r="G84" s="121">
        <f>COUNTIFS(#REF!,"Rejected",#REF!,"High")</f>
        <v/>
      </c>
      <c r="H84" s="122">
        <f>$H$80</f>
        <v/>
      </c>
      <c r="I84" s="123">
        <f>COUNTIFS(#REF!,"Pass",#REF!,"Normal")</f>
        <v/>
      </c>
      <c r="J84" s="124">
        <f>COUNTIFS(#REF!,"Fail",#REF!,"Normal")</f>
        <v/>
      </c>
      <c r="K84" s="124">
        <f>M84-I84-J84-L84</f>
        <v/>
      </c>
      <c r="L84" s="124">
        <f>COUNTIFS(#REF!,"Rejected",#REF!,"Normal")</f>
        <v/>
      </c>
      <c r="M84" s="125">
        <f>$M$80</f>
        <v/>
      </c>
      <c r="N84" s="126">
        <f>COUNTIFS(#REF!,"Pass",#REF!,"Low")</f>
        <v/>
      </c>
      <c r="O84" s="127">
        <f>COUNTIFS(#REF!,"Fail",#REF!,"Low")</f>
        <v/>
      </c>
      <c r="P84" s="127">
        <f>R84-N84-O84-Q84</f>
        <v/>
      </c>
      <c r="Q84" s="127">
        <f>COUNTIFS(#REF!,"Rejected",#REF!,"Low")</f>
        <v/>
      </c>
      <c r="R84" s="128">
        <f>$R$80</f>
        <v/>
      </c>
      <c r="S84" s="143">
        <f>H84+M84+R84</f>
        <v/>
      </c>
      <c r="T84" s="304" t="n"/>
      <c r="U84" s="146">
        <f>#REF!</f>
        <v/>
      </c>
      <c r="V84" s="305" t="n"/>
      <c r="W84" s="291" t="n"/>
      <c r="X84" s="306" t="n"/>
    </row>
    <row r="85" ht="11" customFormat="1" customHeight="1" s="89" thickBot="1">
      <c r="A85" s="298" t="n"/>
      <c r="B85" s="293" t="n"/>
      <c r="C85" s="132">
        <f>C9</f>
        <v/>
      </c>
      <c r="D85" s="133">
        <f>COUNTIFS(#REF!,"Pass",#REF!,"High")</f>
        <v/>
      </c>
      <c r="E85" s="134">
        <f>COUNTIFS(#REF!,"Fail",#REF!,"High")</f>
        <v/>
      </c>
      <c r="F85" s="134">
        <f>H85-D85-E85-G85</f>
        <v/>
      </c>
      <c r="G85" s="134">
        <f>COUNTIFS(#REF!,"Rejected",#REF!,"High")</f>
        <v/>
      </c>
      <c r="H85" s="122">
        <f>$H$80</f>
        <v/>
      </c>
      <c r="I85" s="136">
        <f>COUNTIFS(#REF!,"Pass",#REF!,"Normal")</f>
        <v/>
      </c>
      <c r="J85" s="137">
        <f>COUNTIFS(#REF!,"Fail",#REF!,"Normal")</f>
        <v/>
      </c>
      <c r="K85" s="137">
        <f>M85-I85-J85-L85</f>
        <v/>
      </c>
      <c r="L85" s="137">
        <f>COUNTIFS(#REF!,"Rejected",#REF!,"Normal")</f>
        <v/>
      </c>
      <c r="M85" s="125">
        <f>$M$80</f>
        <v/>
      </c>
      <c r="N85" s="138">
        <f>COUNTIFS(#REF!,"Pass",#REF!,"Low")</f>
        <v/>
      </c>
      <c r="O85" s="139">
        <f>COUNTIFS(#REF!,"Fail",#REF!,"Low")</f>
        <v/>
      </c>
      <c r="P85" s="139">
        <f>R85-N85-O85-Q85</f>
        <v/>
      </c>
      <c r="Q85" s="139">
        <f>COUNTIFS(#REF!,"Rejected",#REF!,"Low")</f>
        <v/>
      </c>
      <c r="R85" s="128">
        <f>$R$80</f>
        <v/>
      </c>
      <c r="S85" s="144">
        <f>H85+M85+R85</f>
        <v/>
      </c>
      <c r="T85" s="293" t="n"/>
      <c r="U85" s="147">
        <f>#REF!</f>
        <v/>
      </c>
      <c r="V85" s="307" t="n"/>
      <c r="W85" s="294" t="n"/>
      <c r="X85" s="308" t="n"/>
    </row>
    <row r="86" customFormat="1" s="89">
      <c r="A86" s="192" t="n">
        <v>7</v>
      </c>
      <c r="B86" s="195">
        <f>#REF!</f>
        <v/>
      </c>
      <c r="C86" s="108">
        <f>C4</f>
        <v/>
      </c>
      <c r="D86" s="109">
        <f>COUNTIFS(#REF!,"Pass",#REF!,"High")</f>
        <v/>
      </c>
      <c r="E86" s="110">
        <f>COUNTIFS(#REF!,"Fail",#REF!,"High")</f>
        <v/>
      </c>
      <c r="F86" s="110">
        <f>H86-D86-E86-G86</f>
        <v/>
      </c>
      <c r="G86" s="110">
        <f>COUNTIFS(#REF!,"Rejected",#REF!,"High")</f>
        <v/>
      </c>
      <c r="H86" s="111">
        <f>#REF!</f>
        <v/>
      </c>
      <c r="I86" s="112">
        <f>COUNTIFS(#REF!,"Pass",#REF!,"Normal")</f>
        <v/>
      </c>
      <c r="J86" s="113">
        <f>COUNTIFS(#REF!,"Fail",#REF!,"Normal")</f>
        <v/>
      </c>
      <c r="K86" s="113">
        <f>M86-I86-J86-L86</f>
        <v/>
      </c>
      <c r="L86" s="113">
        <f>COUNTIFS(#REF!,"Rejected",#REF!,"Normal")</f>
        <v/>
      </c>
      <c r="M86" s="114">
        <f>#REF!</f>
        <v/>
      </c>
      <c r="N86" s="115">
        <f>COUNTIFS(#REF!,"Pass",#REF!,"Low")</f>
        <v/>
      </c>
      <c r="O86" s="116">
        <f>COUNTIFS(#REF!,"Fail",#REF!,"Low")</f>
        <v/>
      </c>
      <c r="P86" s="116">
        <f>R86-N86-O86-Q86</f>
        <v/>
      </c>
      <c r="Q86" s="116">
        <f>COUNTIFS(#REF!,"Rejected",#REF!,"Low")</f>
        <v/>
      </c>
      <c r="R86" s="117">
        <f>#REF!</f>
        <v/>
      </c>
      <c r="S86" s="142">
        <f>H86+M86+R86</f>
        <v/>
      </c>
      <c r="T86" s="198">
        <f>#REF!</f>
        <v/>
      </c>
      <c r="U86" s="145">
        <f>#REF!</f>
        <v/>
      </c>
      <c r="V86" s="301" t="n"/>
      <c r="W86" s="289" t="n"/>
      <c r="X86" s="302" t="n"/>
    </row>
    <row r="87" customFormat="1" s="89">
      <c r="A87" s="303" t="n"/>
      <c r="B87" s="304" t="n"/>
      <c r="C87" s="58">
        <f>C5</f>
        <v/>
      </c>
      <c r="D87" s="120">
        <f>COUNTIFS(#REF!,"Pass",#REF!,"High")</f>
        <v/>
      </c>
      <c r="E87" s="121">
        <f>COUNTIFS(#REF!,"Fail",#REF!,"High")</f>
        <v/>
      </c>
      <c r="F87" s="121">
        <f>H87-D87-E87-G87</f>
        <v/>
      </c>
      <c r="G87" s="121">
        <f>COUNTIFS(#REF!,"Rejected",#REF!,"High")</f>
        <v/>
      </c>
      <c r="H87" s="122">
        <f>$H$86</f>
        <v/>
      </c>
      <c r="I87" s="123">
        <f>COUNTIFS(#REF!,"Pass",#REF!,"Normal")</f>
        <v/>
      </c>
      <c r="J87" s="124">
        <f>COUNTIFS(#REF!,"Fail",#REF!,"Normal")</f>
        <v/>
      </c>
      <c r="K87" s="124">
        <f>M87-I87-J87-L87</f>
        <v/>
      </c>
      <c r="L87" s="124">
        <f>COUNTIFS(#REF!,"Rejected",#REF!,"Normal")</f>
        <v/>
      </c>
      <c r="M87" s="125">
        <f>$M$86</f>
        <v/>
      </c>
      <c r="N87" s="126">
        <f>COUNTIFS(#REF!,"Pass",#REF!,"Low")</f>
        <v/>
      </c>
      <c r="O87" s="127">
        <f>COUNTIFS(#REF!,"Fail",#REF!,"Low")</f>
        <v/>
      </c>
      <c r="P87" s="127">
        <f>R87-N87-O87-Q87</f>
        <v/>
      </c>
      <c r="Q87" s="127">
        <f>COUNTIFS(#REF!,"Rejected",#REF!,"Low")</f>
        <v/>
      </c>
      <c r="R87" s="128">
        <f>$R$86</f>
        <v/>
      </c>
      <c r="S87" s="143">
        <f>H87+M87+R87</f>
        <v/>
      </c>
      <c r="T87" s="304" t="n"/>
      <c r="U87" s="146">
        <f>#REF!</f>
        <v/>
      </c>
      <c r="V87" s="305" t="n"/>
      <c r="W87" s="291" t="n"/>
      <c r="X87" s="306" t="n"/>
    </row>
    <row r="88" customFormat="1" s="89">
      <c r="A88" s="303" t="n"/>
      <c r="B88" s="304" t="n"/>
      <c r="C88" s="58">
        <f>C6</f>
        <v/>
      </c>
      <c r="D88" s="120">
        <f>COUNTIFS(#REF!,"Pass",#REF!,"High")</f>
        <v/>
      </c>
      <c r="E88" s="121">
        <f>COUNTIFS(#REF!,"Fail",#REF!,"High")</f>
        <v/>
      </c>
      <c r="F88" s="121">
        <f>H88-D88-E88-G88</f>
        <v/>
      </c>
      <c r="G88" s="121">
        <f>COUNTIFS(#REF!,"Rejected",#REF!,"High")</f>
        <v/>
      </c>
      <c r="H88" s="122">
        <f>$H$86</f>
        <v/>
      </c>
      <c r="I88" s="123">
        <f>COUNTIFS(#REF!,"Pass",#REF!,"Normal")</f>
        <v/>
      </c>
      <c r="J88" s="124">
        <f>COUNTIFS(#REF!,"Fail",#REF!,"Normal")</f>
        <v/>
      </c>
      <c r="K88" s="124">
        <f>M88-I88-J88-L88</f>
        <v/>
      </c>
      <c r="L88" s="124">
        <f>COUNTIFS(#REF!,"Rejected",#REF!,"Normal")</f>
        <v/>
      </c>
      <c r="M88" s="125">
        <f>$M$86</f>
        <v/>
      </c>
      <c r="N88" s="126">
        <f>COUNTIFS(#REF!,"Pass",#REF!,"Low")</f>
        <v/>
      </c>
      <c r="O88" s="127">
        <f>COUNTIFS(#REF!,"Fail",#REF!,"Low")</f>
        <v/>
      </c>
      <c r="P88" s="127">
        <f>R88-N88-O88-Q88</f>
        <v/>
      </c>
      <c r="Q88" s="127">
        <f>COUNTIFS(#REF!,"Rejected",#REF!,"Low")</f>
        <v/>
      </c>
      <c r="R88" s="128">
        <f>$R$86</f>
        <v/>
      </c>
      <c r="S88" s="143">
        <f>H88+M88+R88</f>
        <v/>
      </c>
      <c r="T88" s="304" t="n"/>
      <c r="U88" s="146">
        <f>#REF!</f>
        <v/>
      </c>
      <c r="V88" s="305" t="n"/>
      <c r="W88" s="291" t="n"/>
      <c r="X88" s="306" t="n"/>
    </row>
    <row r="89" customFormat="1" s="89">
      <c r="A89" s="303" t="n"/>
      <c r="B89" s="304" t="n"/>
      <c r="C89" s="58">
        <f>C7</f>
        <v/>
      </c>
      <c r="D89" s="120">
        <f>COUNTIFS(#REF!,"Pass",#REF!,"High")</f>
        <v/>
      </c>
      <c r="E89" s="121">
        <f>COUNTIFS(#REF!,"Fail",#REF!,"High")</f>
        <v/>
      </c>
      <c r="F89" s="121">
        <f>H89-D89-E89-G89</f>
        <v/>
      </c>
      <c r="G89" s="121">
        <f>COUNTIFS(#REF!,"Rejected",#REF!,"High")</f>
        <v/>
      </c>
      <c r="H89" s="122">
        <f>$H$86</f>
        <v/>
      </c>
      <c r="I89" s="123">
        <f>COUNTIFS(#REF!,"Pass",#REF!,"Normal")</f>
        <v/>
      </c>
      <c r="J89" s="124">
        <f>COUNTIFS(#REF!,"Fail",#REF!,"Normal")</f>
        <v/>
      </c>
      <c r="K89" s="124">
        <f>M89-I89-J89-L89</f>
        <v/>
      </c>
      <c r="L89" s="124">
        <f>COUNTIFS(#REF!,"Rejected",#REF!,"Normal")</f>
        <v/>
      </c>
      <c r="M89" s="125">
        <f>$M$86</f>
        <v/>
      </c>
      <c r="N89" s="126">
        <f>COUNTIFS(#REF!,"Pass",#REF!,"Low")</f>
        <v/>
      </c>
      <c r="O89" s="127">
        <f>COUNTIFS(#REF!,"Fail",#REF!,"Low")</f>
        <v/>
      </c>
      <c r="P89" s="127">
        <f>R89-N89-O89-Q89</f>
        <v/>
      </c>
      <c r="Q89" s="127">
        <f>COUNTIFS(#REF!,"Rejected",#REF!,"Low")</f>
        <v/>
      </c>
      <c r="R89" s="128">
        <f>$R$86</f>
        <v/>
      </c>
      <c r="S89" s="143">
        <f>H89+M89+R89</f>
        <v/>
      </c>
      <c r="T89" s="304" t="n"/>
      <c r="U89" s="146">
        <f>#REF!</f>
        <v/>
      </c>
      <c r="V89" s="305" t="n"/>
      <c r="W89" s="291" t="n"/>
      <c r="X89" s="306" t="n"/>
    </row>
    <row r="90" customFormat="1" s="89">
      <c r="A90" s="303" t="n"/>
      <c r="B90" s="304" t="n"/>
      <c r="C90" s="58">
        <f>C8</f>
        <v/>
      </c>
      <c r="D90" s="120">
        <f>COUNTIFS(#REF!,"Pass",#REF!,"High")</f>
        <v/>
      </c>
      <c r="E90" s="121">
        <f>COUNTIFS(#REF!,"Fail",#REF!,"High")</f>
        <v/>
      </c>
      <c r="F90" s="121">
        <f>H90-D90-E90-G90</f>
        <v/>
      </c>
      <c r="G90" s="121">
        <f>COUNTIFS(#REF!,"Rejected",#REF!,"High")</f>
        <v/>
      </c>
      <c r="H90" s="122">
        <f>$H$86</f>
        <v/>
      </c>
      <c r="I90" s="123">
        <f>COUNTIFS(#REF!,"Pass",#REF!,"Normal")</f>
        <v/>
      </c>
      <c r="J90" s="124">
        <f>COUNTIFS(#REF!,"Fail",#REF!,"Normal")</f>
        <v/>
      </c>
      <c r="K90" s="124">
        <f>M90-I90-J90-L90</f>
        <v/>
      </c>
      <c r="L90" s="124">
        <f>COUNTIFS(#REF!,"Rejected",#REF!,"Normal")</f>
        <v/>
      </c>
      <c r="M90" s="125">
        <f>$M$86</f>
        <v/>
      </c>
      <c r="N90" s="126">
        <f>COUNTIFS(#REF!,"Pass",#REF!,"Low")</f>
        <v/>
      </c>
      <c r="O90" s="127">
        <f>COUNTIFS(#REF!,"Fail",#REF!,"Low")</f>
        <v/>
      </c>
      <c r="P90" s="127">
        <f>R90-N90-O90-Q90</f>
        <v/>
      </c>
      <c r="Q90" s="127">
        <f>COUNTIFS(#REF!,"Rejected",#REF!,"Low")</f>
        <v/>
      </c>
      <c r="R90" s="128">
        <f>$R$86</f>
        <v/>
      </c>
      <c r="S90" s="143">
        <f>H90+M90+R90</f>
        <v/>
      </c>
      <c r="T90" s="304" t="n"/>
      <c r="U90" s="146">
        <f>#REF!</f>
        <v/>
      </c>
      <c r="V90" s="305" t="n"/>
      <c r="W90" s="291" t="n"/>
      <c r="X90" s="306" t="n"/>
    </row>
    <row r="91" ht="11" customFormat="1" customHeight="1" s="89" thickBot="1">
      <c r="A91" s="298" t="n"/>
      <c r="B91" s="293" t="n"/>
      <c r="C91" s="132">
        <f>C9</f>
        <v/>
      </c>
      <c r="D91" s="133">
        <f>COUNTIFS(#REF!,"Pass",#REF!,"High")</f>
        <v/>
      </c>
      <c r="E91" s="134">
        <f>COUNTIFS(#REF!,"Fail",#REF!,"High")</f>
        <v/>
      </c>
      <c r="F91" s="134">
        <f>H91-D91-E91-G91</f>
        <v/>
      </c>
      <c r="G91" s="134">
        <f>COUNTIFS(#REF!,"Rejected",#REF!,"High")</f>
        <v/>
      </c>
      <c r="H91" s="122">
        <f>$H$86</f>
        <v/>
      </c>
      <c r="I91" s="136">
        <f>COUNTIFS(#REF!,"Pass",#REF!,"Normal")</f>
        <v/>
      </c>
      <c r="J91" s="137">
        <f>COUNTIFS(#REF!,"Fail",#REF!,"Normal")</f>
        <v/>
      </c>
      <c r="K91" s="137">
        <f>M91-I91-J91-L91</f>
        <v/>
      </c>
      <c r="L91" s="137">
        <f>COUNTIFS(#REF!,"Rejected",#REF!,"Normal")</f>
        <v/>
      </c>
      <c r="M91" s="125">
        <f>$M$86</f>
        <v/>
      </c>
      <c r="N91" s="138">
        <f>COUNTIFS(#REF!,"Pass",#REF!,"Low")</f>
        <v/>
      </c>
      <c r="O91" s="139">
        <f>COUNTIFS(#REF!,"Fail",#REF!,"Low")</f>
        <v/>
      </c>
      <c r="P91" s="139">
        <f>R91-N91-O91-Q91</f>
        <v/>
      </c>
      <c r="Q91" s="139">
        <f>COUNTIFS(#REF!,"Rejected",#REF!,"Low")</f>
        <v/>
      </c>
      <c r="R91" s="128">
        <f>$R$86</f>
        <v/>
      </c>
      <c r="S91" s="144">
        <f>H91+M91+R91</f>
        <v/>
      </c>
      <c r="T91" s="293" t="n"/>
      <c r="U91" s="147">
        <f>#REF!</f>
        <v/>
      </c>
      <c r="V91" s="307" t="n"/>
      <c r="W91" s="294" t="n"/>
      <c r="X91" s="308" t="n"/>
    </row>
    <row r="92" ht="11" customFormat="1" customHeight="1" s="89" thickBot="1">
      <c r="A92" s="148" t="n"/>
      <c r="B92" s="149" t="inlineStr">
        <is>
          <t>…</t>
        </is>
      </c>
      <c r="C92" s="150" t="inlineStr">
        <is>
          <t>…</t>
        </is>
      </c>
      <c r="D92" s="151" t="inlineStr">
        <is>
          <t>..</t>
        </is>
      </c>
      <c r="E92" s="152" t="inlineStr">
        <is>
          <t>..</t>
        </is>
      </c>
      <c r="F92" s="152" t="inlineStr">
        <is>
          <t>..</t>
        </is>
      </c>
      <c r="G92" s="152" t="n"/>
      <c r="H92" s="153" t="n"/>
      <c r="I92" s="151" t="n"/>
      <c r="J92" s="152" t="n"/>
      <c r="K92" s="152" t="n"/>
      <c r="L92" s="152" t="n"/>
      <c r="M92" s="153" t="n"/>
      <c r="N92" s="151" t="n"/>
      <c r="O92" s="152" t="n"/>
      <c r="P92" s="152" t="n"/>
      <c r="Q92" s="152" t="n"/>
      <c r="R92" s="153" t="n"/>
      <c r="S92" s="154" t="n"/>
      <c r="T92" s="155" t="n"/>
      <c r="U92" s="156" t="n"/>
      <c r="V92" s="150" t="n"/>
      <c r="W92" s="157" t="n"/>
      <c r="X92" s="158" t="n"/>
    </row>
    <row r="93" customFormat="1" s="89">
      <c r="A93" s="49" t="n"/>
      <c r="B93" s="49" t="n"/>
      <c r="C93" s="49" t="n"/>
      <c r="D93" s="49" t="n"/>
      <c r="E93" s="49" t="n"/>
      <c r="F93" s="49" t="n"/>
      <c r="G93" s="49" t="n"/>
      <c r="H93" s="50" t="n"/>
      <c r="I93" s="49" t="n"/>
      <c r="J93" s="49" t="n"/>
      <c r="K93" s="49" t="n"/>
      <c r="L93" s="49" t="n"/>
      <c r="M93" s="50" t="n"/>
      <c r="N93" s="49" t="n"/>
      <c r="O93" s="49" t="n"/>
      <c r="P93" s="49" t="n"/>
      <c r="Q93" s="49" t="n"/>
      <c r="R93" s="50" t="n"/>
      <c r="S93" s="159" t="n"/>
      <c r="T93" s="51" t="n"/>
      <c r="U93" s="49" t="n"/>
      <c r="V93" s="49" t="n"/>
      <c r="W93" s="49" t="n"/>
      <c r="X93" s="49" t="n"/>
    </row>
    <row r="94" customFormat="1" s="89">
      <c r="A94" s="49" t="n"/>
      <c r="B94" s="49" t="n"/>
      <c r="C94" s="49" t="n"/>
      <c r="D94" s="49" t="n"/>
      <c r="E94" s="49" t="n"/>
      <c r="F94" s="49" t="n"/>
      <c r="G94" s="49" t="n"/>
      <c r="H94" s="50" t="n"/>
      <c r="I94" s="49" t="n"/>
      <c r="J94" s="49" t="n"/>
      <c r="K94" s="49" t="n"/>
      <c r="L94" s="49" t="n"/>
      <c r="M94" s="50" t="n"/>
      <c r="N94" s="49" t="n"/>
      <c r="O94" s="49" t="n"/>
      <c r="P94" s="49" t="n"/>
      <c r="Q94" s="49" t="n"/>
      <c r="R94" s="50" t="n"/>
      <c r="S94" s="159" t="n"/>
      <c r="T94" s="51" t="n"/>
      <c r="U94" s="49" t="n"/>
      <c r="V94" s="49" t="n"/>
      <c r="W94" s="49" t="n"/>
      <c r="X94" s="49" t="n"/>
    </row>
    <row r="95" ht="19.5" customFormat="1" customHeight="1" s="89" thickBot="1">
      <c r="A95" s="221" t="inlineStr">
        <is>
          <t>Round 2 in detail</t>
        </is>
      </c>
      <c r="C95" s="49" t="n"/>
      <c r="D95" s="49" t="n"/>
      <c r="E95" s="49" t="n"/>
      <c r="F95" s="49" t="n"/>
      <c r="G95" s="49" t="n"/>
      <c r="H95" s="50" t="n"/>
      <c r="I95" s="49" t="n"/>
      <c r="J95" s="49" t="n"/>
      <c r="K95" s="49" t="n"/>
      <c r="L95" s="49" t="n"/>
      <c r="M95" s="50" t="n"/>
      <c r="N95" s="49" t="n"/>
      <c r="O95" s="49" t="n"/>
      <c r="P95" s="49" t="n"/>
      <c r="Q95" s="49" t="n"/>
      <c r="R95" s="50" t="n"/>
      <c r="S95" s="159" t="n"/>
      <c r="T95" s="51" t="n"/>
      <c r="U95" s="49" t="n"/>
      <c r="V95" s="49" t="n"/>
      <c r="W95" s="49" t="n"/>
      <c r="X95" s="49" t="n"/>
    </row>
    <row r="96" ht="20.25" customHeight="1" thickBot="1">
      <c r="C96" s="49" t="n"/>
      <c r="D96" s="222" t="inlineStr">
        <is>
          <t>High</t>
        </is>
      </c>
      <c r="E96" s="289" t="n"/>
      <c r="F96" s="289" t="n"/>
      <c r="G96" s="289" t="n"/>
      <c r="H96" s="290" t="n"/>
      <c r="I96" s="222" t="inlineStr">
        <is>
          <t>Normal</t>
        </is>
      </c>
      <c r="J96" s="289" t="n"/>
      <c r="K96" s="289" t="n"/>
      <c r="L96" s="289" t="n"/>
      <c r="M96" s="290" t="n"/>
      <c r="N96" s="222" t="inlineStr">
        <is>
          <t>Low</t>
        </is>
      </c>
      <c r="O96" s="289" t="n"/>
      <c r="P96" s="289" t="n"/>
      <c r="Q96" s="289" t="n"/>
      <c r="R96" s="290" t="n"/>
      <c r="S96" s="225" t="inlineStr">
        <is>
          <t>Total TC</t>
        </is>
      </c>
      <c r="T96" s="201" t="inlineStr">
        <is>
          <t>Creator</t>
        </is>
      </c>
      <c r="U96" s="201" t="inlineStr">
        <is>
          <t>Tester</t>
        </is>
      </c>
      <c r="V96" s="297" t="inlineStr">
        <is>
          <t>Note</t>
        </is>
      </c>
      <c r="W96" s="281" t="n"/>
      <c r="X96" s="282" t="n"/>
    </row>
    <row r="97" ht="16.5" customHeight="1" thickBot="1">
      <c r="A97" s="104" t="inlineStr">
        <is>
          <t>No</t>
        </is>
      </c>
      <c r="B97" s="105" t="inlineStr">
        <is>
          <t>Module/Function</t>
        </is>
      </c>
      <c r="C97" s="106" t="inlineStr">
        <is>
          <t>Environment</t>
        </is>
      </c>
      <c r="D97" s="242" t="inlineStr">
        <is>
          <t>Pass</t>
        </is>
      </c>
      <c r="E97" s="202" t="inlineStr">
        <is>
          <t>Fail</t>
        </is>
      </c>
      <c r="F97" s="202" t="inlineStr">
        <is>
          <t>Untested</t>
        </is>
      </c>
      <c r="G97" s="202" t="inlineStr">
        <is>
          <t>Rejected</t>
        </is>
      </c>
      <c r="H97" s="107" t="inlineStr">
        <is>
          <t>Total</t>
        </is>
      </c>
      <c r="I97" s="226" t="inlineStr">
        <is>
          <t>Pass</t>
        </is>
      </c>
      <c r="J97" s="202" t="inlineStr">
        <is>
          <t>Fail</t>
        </is>
      </c>
      <c r="K97" s="202" t="inlineStr">
        <is>
          <t>Untested</t>
        </is>
      </c>
      <c r="L97" s="202" t="inlineStr">
        <is>
          <t>Rejected</t>
        </is>
      </c>
      <c r="M97" s="107" t="inlineStr">
        <is>
          <t>Total</t>
        </is>
      </c>
      <c r="N97" s="226" t="inlineStr">
        <is>
          <t>Pass</t>
        </is>
      </c>
      <c r="O97" s="202" t="inlineStr">
        <is>
          <t>Fail</t>
        </is>
      </c>
      <c r="P97" s="202" t="inlineStr">
        <is>
          <t>Untested</t>
        </is>
      </c>
      <c r="Q97" s="202" t="inlineStr">
        <is>
          <t>Rejected</t>
        </is>
      </c>
      <c r="R97" s="107" t="inlineStr">
        <is>
          <t>Total</t>
        </is>
      </c>
      <c r="S97" s="287" t="n"/>
      <c r="T97" s="293" t="n"/>
      <c r="U97" s="293" t="n"/>
      <c r="V97" s="299" t="n"/>
      <c r="X97" s="300" t="n"/>
    </row>
    <row r="98" ht="16" customHeight="1">
      <c r="A98" s="309" t="n">
        <v>1</v>
      </c>
      <c r="B98" s="310">
        <f>'Module 1'!B1</f>
        <v/>
      </c>
      <c r="C98" s="108">
        <f>C4</f>
        <v/>
      </c>
      <c r="D98" s="109">
        <f>COUNTIFS('Module 1'!AC12:AC698,"Pass",'Module 1'!H12:H698,"High")</f>
        <v/>
      </c>
      <c r="E98" s="110">
        <f>COUNTIFS('Module 1'!AC12:AC698,"Fail",'Module 1'!H12:H698,"High")</f>
        <v/>
      </c>
      <c r="F98" s="110">
        <f>H98-D98-E98-G98</f>
        <v/>
      </c>
      <c r="G98" s="110">
        <f>COUNTIFS('Module 1'!AC12:AC698,"Rejected",'Module 1'!H12:H698,"High")</f>
        <v/>
      </c>
      <c r="H98" s="111">
        <f>'Module 1'!H3</f>
        <v/>
      </c>
      <c r="I98" s="112">
        <f>COUNTIFS('Module 1'!AC12:AC698,"Pass",'Module 1'!H12:H698,"Normal")</f>
        <v/>
      </c>
      <c r="J98" s="113">
        <f>COUNTIFS('Module 1'!AC12:AC698,"Fail",'Module 1'!H12:H698,"Normal")</f>
        <v/>
      </c>
      <c r="K98" s="113">
        <f>M98-I98-J98-L98</f>
        <v/>
      </c>
      <c r="L98" s="113">
        <f>COUNTIFS('Module 1'!AC12:AC698,"Rejected",'Module 1'!H12:H698,"Normal")</f>
        <v/>
      </c>
      <c r="M98" s="114">
        <f>'Module 1'!I3</f>
        <v/>
      </c>
      <c r="N98" s="160">
        <f>COUNTIFS('Module 1'!AC12:AC698,"Pass",'Module 1'!H12:H698,"Low")</f>
        <v/>
      </c>
      <c r="O98" s="161">
        <f>COUNTIFS('Module 1'!AC12:AC698,"Fail",'Module 1'!H12:H698,"Low")</f>
        <v/>
      </c>
      <c r="P98" s="161">
        <f>R98-N98-O98-Q98</f>
        <v/>
      </c>
      <c r="Q98" s="161">
        <f>COUNTIFS('Module 1'!AC12:AC698,"Rejected",'Module 1'!H12:H698,"Low")</f>
        <v/>
      </c>
      <c r="R98" s="162">
        <f>'Module 1'!J3</f>
        <v/>
      </c>
      <c r="S98" s="118">
        <f>H98+M98+R98</f>
        <v/>
      </c>
      <c r="T98" s="311">
        <f>'Module 1'!E1</f>
        <v/>
      </c>
      <c r="U98" s="119">
        <f>'Module 1'!AG12</f>
        <v/>
      </c>
      <c r="V98" s="301" t="n"/>
      <c r="W98" s="289" t="n"/>
      <c r="X98" s="302" t="n"/>
    </row>
    <row r="99">
      <c r="A99" s="303" t="n"/>
      <c r="B99" s="304" t="n"/>
      <c r="C99" s="58">
        <f>C5</f>
        <v/>
      </c>
      <c r="D99" s="120">
        <f>COUNTIFS('Module 1'!AF12:AF698,"Pass",'Module 1'!H12:H698,"High")</f>
        <v/>
      </c>
      <c r="E99" s="121">
        <f>COUNTIFS('Module 1'!AF12:AF698,"Fail",'Module 1'!H12:H698,"High")</f>
        <v/>
      </c>
      <c r="F99" s="121">
        <f>H99-D99-E99-G99</f>
        <v/>
      </c>
      <c r="G99" s="121">
        <f>COUNTIFS('Module 1'!AF12:AF698,"Rejected",'Module 1'!H12:H698,"High")</f>
        <v/>
      </c>
      <c r="H99" s="122">
        <f>$H$98</f>
        <v/>
      </c>
      <c r="I99" s="123">
        <f>COUNTIFS('Module 1'!AF12:AF698,"Pass",'Module 1'!H12:H698,"Normal")</f>
        <v/>
      </c>
      <c r="J99" s="124">
        <f>COUNTIFS('Module 1'!AF12:AF698,"Fail",'Module 1'!H12:H698,"Normal")</f>
        <v/>
      </c>
      <c r="K99" s="124">
        <f>M99-I99-J99-L99</f>
        <v/>
      </c>
      <c r="L99" s="124">
        <f>COUNTIFS('Module 1'!AF12:AF698,"Rejected",'Module 1'!H12:H698,"Normal")</f>
        <v/>
      </c>
      <c r="M99" s="125">
        <f>$M$98</f>
        <v/>
      </c>
      <c r="N99" s="163">
        <f>COUNTIFS('Module 1'!AF12:AF698,"Pass",'Module 1'!H12:H698,"Low")</f>
        <v/>
      </c>
      <c r="O99" s="164">
        <f>COUNTIFS('Module 1'!AF12:AF698,"Fail",'Module 1'!H12:H698,"Low")</f>
        <v/>
      </c>
      <c r="P99" s="164">
        <f>R99-N99-O99-Q99</f>
        <v/>
      </c>
      <c r="Q99" s="164">
        <f>COUNTIFS('Module 1'!AF12:AF698,"Rejected",'Module 1'!H12:H698,"Low")</f>
        <v/>
      </c>
      <c r="R99" s="165">
        <f>$R$98</f>
        <v/>
      </c>
      <c r="S99" s="129">
        <f>H99+M99+R99</f>
        <v/>
      </c>
      <c r="T99" s="304" t="n"/>
      <c r="U99" s="130">
        <f>'Module 1'!AJ12</f>
        <v/>
      </c>
      <c r="V99" s="305" t="n"/>
      <c r="W99" s="291" t="n"/>
      <c r="X99" s="306" t="n"/>
    </row>
    <row r="100">
      <c r="A100" s="303" t="n"/>
      <c r="B100" s="304" t="n"/>
      <c r="C100" s="58">
        <f>C6</f>
        <v/>
      </c>
      <c r="D100" s="120">
        <f>COUNTIFS('Module 1'!AI12:AI698,"Pass",'Module 1'!H12:H698,"High")</f>
        <v/>
      </c>
      <c r="E100" s="121">
        <f>COUNTIFS('Module 1'!AI12:AI698,"Fail",'Module 1'!H12:H698,"High")</f>
        <v/>
      </c>
      <c r="F100" s="121">
        <f>H100-D100-E100-G100</f>
        <v/>
      </c>
      <c r="G100" s="121">
        <f>COUNTIFS('Module 1'!AI12:AI698,"Rejected",'Module 1'!H12:H698,"High")</f>
        <v/>
      </c>
      <c r="H100" s="122">
        <f>$H$98</f>
        <v/>
      </c>
      <c r="I100" s="123">
        <f>COUNTIFS('Module 1'!AI12:AI698,"Pass",'Module 1'!H12:H698,"Normal")</f>
        <v/>
      </c>
      <c r="J100" s="124">
        <f>COUNTIFS('Module 1'!AI12:AI698,"Fail",'Module 1'!H12:H698,"Normal")</f>
        <v/>
      </c>
      <c r="K100" s="124">
        <f>M100-I100-J100-L100</f>
        <v/>
      </c>
      <c r="L100" s="124">
        <f>COUNTIFS('Module 1'!AI12:AI698,"Rejected",'Module 1'!H12:H698,"Normal")</f>
        <v/>
      </c>
      <c r="M100" s="125">
        <f>$M$98</f>
        <v/>
      </c>
      <c r="N100" s="163">
        <f>COUNTIFS('Module 1'!AI12:AI698,"Pass",'Module 1'!H12:H698,"Low")</f>
        <v/>
      </c>
      <c r="O100" s="164">
        <f>COUNTIFS('Module 1'!AI12:AI698,"Fail",'Module 1'!H12:H698,"Low")</f>
        <v/>
      </c>
      <c r="P100" s="164">
        <f>R100-N100-O100-Q100</f>
        <v/>
      </c>
      <c r="Q100" s="164">
        <f>COUNTIFS('Module 1'!AI12:AI698,"Rejected",'Module 1'!H12:H698,"Low")</f>
        <v/>
      </c>
      <c r="R100" s="165">
        <f>$R$98</f>
        <v/>
      </c>
      <c r="S100" s="129">
        <f>H100+M100+R100</f>
        <v/>
      </c>
      <c r="T100" s="304" t="n"/>
      <c r="U100" s="130">
        <f>'Module 1'!AM12</f>
        <v/>
      </c>
      <c r="V100" s="305" t="n"/>
      <c r="W100" s="291" t="n"/>
      <c r="X100" s="306" t="n"/>
    </row>
    <row r="101" ht="15.75" customHeight="1">
      <c r="A101" s="303" t="n"/>
      <c r="B101" s="304" t="n"/>
      <c r="C101" s="58">
        <f>C7</f>
        <v/>
      </c>
      <c r="D101" s="120">
        <f>COUNTIFS('Module 1'!AL12:AL698,"Pass",'Module 1'!H12:H698,"High")</f>
        <v/>
      </c>
      <c r="E101" s="121">
        <f>COUNTIFS('Module 1'!AL12:AL698,"Fail",'Module 1'!H12:H698,"High")</f>
        <v/>
      </c>
      <c r="F101" s="121">
        <f>H101-D101-E101-G101</f>
        <v/>
      </c>
      <c r="G101" s="121">
        <f>COUNTIFS('Module 1'!AL12:AL698,"Rejected",'Module 1'!H12:H698,"High")</f>
        <v/>
      </c>
      <c r="H101" s="122">
        <f>$H$98</f>
        <v/>
      </c>
      <c r="I101" s="123">
        <f>COUNTIFS('Module 1'!AL12:AL698,"Pass",'Module 1'!H12:H698,"Normal")</f>
        <v/>
      </c>
      <c r="J101" s="124">
        <f>COUNTIFS('Module 1'!AL12:AL698,"Fail",'Module 1'!H12:H698,"Normal")</f>
        <v/>
      </c>
      <c r="K101" s="124">
        <f>M101-I101-J101-L101</f>
        <v/>
      </c>
      <c r="L101" s="124">
        <f>COUNTIFS('Module 1'!AL12:AL698,"Rejected",'Module 1'!H12:H698,"Normal")</f>
        <v/>
      </c>
      <c r="M101" s="125">
        <f>$M$98</f>
        <v/>
      </c>
      <c r="N101" s="163">
        <f>COUNTIFS('Module 1'!AL12:AL698,"Pass",'Module 1'!H12:H698,"Low")</f>
        <v/>
      </c>
      <c r="O101" s="164">
        <f>COUNTIFS('Module 1'!AL12:AL698,"Fail",'Module 1'!H12:H698,"Low")</f>
        <v/>
      </c>
      <c r="P101" s="164">
        <f>R101-N101-O101-Q101</f>
        <v/>
      </c>
      <c r="Q101" s="164">
        <f>COUNTIFS('Module 1'!AL12:AL698,"Rejected",'Module 1'!H12:H698,"Low")</f>
        <v/>
      </c>
      <c r="R101" s="165">
        <f>$R$98</f>
        <v/>
      </c>
      <c r="S101" s="129">
        <f>H101+M101+R101</f>
        <v/>
      </c>
      <c r="T101" s="304" t="n"/>
      <c r="U101" s="130">
        <f>'Module 1'!AP12</f>
        <v/>
      </c>
      <c r="V101" s="305" t="n"/>
      <c r="W101" s="291" t="n"/>
      <c r="X101" s="306" t="n"/>
    </row>
    <row r="102">
      <c r="A102" s="303" t="n"/>
      <c r="B102" s="304" t="n"/>
      <c r="C102" s="58">
        <f>C8</f>
        <v/>
      </c>
      <c r="D102" s="120">
        <f>COUNTIFS('Module 1'!AO12:AO698,"Pass",'Module 1'!H12:H698,"High")</f>
        <v/>
      </c>
      <c r="E102" s="121">
        <f>COUNTIFS('Module 1'!AO12:AO698,"Fail",'Module 1'!H12:H698,"High")</f>
        <v/>
      </c>
      <c r="F102" s="121">
        <f>H102-D102-E102-G102</f>
        <v/>
      </c>
      <c r="G102" s="121">
        <f>COUNTIFS('Module 1'!AO12:AO698,"Rejected",'Module 1'!H12:H698,"High")</f>
        <v/>
      </c>
      <c r="H102" s="122">
        <f>$H$98</f>
        <v/>
      </c>
      <c r="I102" s="123">
        <f>COUNTIFS('Module 1'!AO12:AO698,"Pass",'Module 1'!H12:H698,"Normal")</f>
        <v/>
      </c>
      <c r="J102" s="124">
        <f>COUNTIFS('Module 1'!AO12:AO698,"Fail",'Module 1'!H12:H698,"Normal")</f>
        <v/>
      </c>
      <c r="K102" s="124">
        <f>M102-I102-J102-L102</f>
        <v/>
      </c>
      <c r="L102" s="124">
        <f>COUNTIFS('Module 1'!AO12:AO698,"Rejected",'Module 1'!H12:H698,"Normal")</f>
        <v/>
      </c>
      <c r="M102" s="125">
        <f>$M$98</f>
        <v/>
      </c>
      <c r="N102" s="163">
        <f>COUNTIFS('Module 1'!AO12:AO698,"Pass",'Module 1'!H12:H698,"Low")</f>
        <v/>
      </c>
      <c r="O102" s="164">
        <f>COUNTIFS('Module 1'!AO12:AO698,"Fail",'Module 1'!H12:H698,"Low")</f>
        <v/>
      </c>
      <c r="P102" s="164">
        <f>R102-N102-O102-Q102</f>
        <v/>
      </c>
      <c r="Q102" s="164">
        <f>COUNTIFS('Module 1'!AO12:AO698,"Rejected",'Module 1'!H12:H698,"Low")</f>
        <v/>
      </c>
      <c r="R102" s="165">
        <f>$R$98</f>
        <v/>
      </c>
      <c r="S102" s="129">
        <f>H102+M102+R102</f>
        <v/>
      </c>
      <c r="T102" s="304" t="n"/>
      <c r="U102" s="130">
        <f>'Module 1'!AS12</f>
        <v/>
      </c>
      <c r="V102" s="305" t="n"/>
      <c r="W102" s="291" t="n"/>
      <c r="X102" s="306" t="n"/>
    </row>
    <row r="103" ht="15.75" customHeight="1" thickBot="1">
      <c r="A103" s="312" t="n"/>
      <c r="B103" s="313" t="n"/>
      <c r="C103" s="132">
        <f>C9</f>
        <v/>
      </c>
      <c r="D103" s="133">
        <f>COUNTIFS('Module 1'!AR12:AR698,"Pass",'Module 1'!H12:H698,"High")</f>
        <v/>
      </c>
      <c r="E103" s="134">
        <f>COUNTIFS('Module 1'!AR12:AR698,"Fail",'Module 1'!H12:H698,"High")</f>
        <v/>
      </c>
      <c r="F103" s="134">
        <f>H103-D103-E103-G103</f>
        <v/>
      </c>
      <c r="G103" s="134">
        <f>COUNTIFS('Module 1'!AR12:AR698,"Rejected",'Module 1'!H12:H698,"High")</f>
        <v/>
      </c>
      <c r="H103" s="122">
        <f>$H$98</f>
        <v/>
      </c>
      <c r="I103" s="136">
        <f>COUNTIFS('Module 1'!AR12:AR698,"Pass",'Module 1'!H12:H698,"Normal")</f>
        <v/>
      </c>
      <c r="J103" s="137">
        <f>COUNTIFS('Module 1'!AR12:AR698,"Fail",'Module 1'!H12:H698,"Normal")</f>
        <v/>
      </c>
      <c r="K103" s="137">
        <f>M103-I103-J103-L103</f>
        <v/>
      </c>
      <c r="L103" s="137">
        <f>COUNTIFS('Module 1'!AR12:AR698,"Rejected",'Module 1'!H12:H698,"Normal")</f>
        <v/>
      </c>
      <c r="M103" s="125">
        <f>$M$98</f>
        <v/>
      </c>
      <c r="N103" s="166">
        <f>COUNTIFS('Module 1'!AR12:AR698,"Pass",'Module 1'!H12:H698,"Low")</f>
        <v/>
      </c>
      <c r="O103" s="167">
        <f>COUNTIFS('Module 1'!AR12:AR698,"Fail",'Module 1'!H12:H698,"Low")</f>
        <v/>
      </c>
      <c r="P103" s="167">
        <f>R103-N103-O103-Q103</f>
        <v/>
      </c>
      <c r="Q103" s="167">
        <f>COUNTIFS('Module 1'!AR12:AR698,"Rejected",'Module 1'!H12:H698,"Low")</f>
        <v/>
      </c>
      <c r="R103" s="165">
        <f>$R$98</f>
        <v/>
      </c>
      <c r="S103" s="140">
        <f>H103+M103+R103</f>
        <v/>
      </c>
      <c r="T103" s="313" t="n"/>
      <c r="U103" s="141">
        <f>#REF!</f>
        <v/>
      </c>
      <c r="V103" s="307" t="n"/>
      <c r="W103" s="294" t="n"/>
      <c r="X103" s="308" t="n"/>
    </row>
    <row r="104" ht="16" customHeight="1">
      <c r="A104" s="192" t="n">
        <v>2</v>
      </c>
      <c r="B104" s="195">
        <f>B56</f>
        <v/>
      </c>
      <c r="C104" s="108">
        <f>C4</f>
        <v/>
      </c>
      <c r="D104" s="109">
        <f>COUNTIFS(#REF!,"Pass",#REF!,"High")</f>
        <v/>
      </c>
      <c r="E104" s="110">
        <f>COUNTIFS(#REF!,"Fail",#REF!,"High")</f>
        <v/>
      </c>
      <c r="F104" s="110">
        <f>H104-D104-E104-G104</f>
        <v/>
      </c>
      <c r="G104" s="110">
        <f>COUNTIFS(#REF!,"Rejected",#REF!,"High")</f>
        <v/>
      </c>
      <c r="H104" s="111">
        <f>#REF!</f>
        <v/>
      </c>
      <c r="I104" s="112">
        <f>COUNTIFS(#REF!,"Pass",#REF!,"Normal")</f>
        <v/>
      </c>
      <c r="J104" s="113">
        <f>COUNTIFS(#REF!,"Fail",#REF!,"Normal")</f>
        <v/>
      </c>
      <c r="K104" s="113">
        <f>M104-I104-J104-L104</f>
        <v/>
      </c>
      <c r="L104" s="113">
        <f>COUNTIFS(#REF!,"Rejected",#REF!,"Normal")</f>
        <v/>
      </c>
      <c r="M104" s="114">
        <f>#REF!</f>
        <v/>
      </c>
      <c r="N104" s="160">
        <f>COUNTIFS(#REF!,"Pass",#REF!,"Low")</f>
        <v/>
      </c>
      <c r="O104" s="161">
        <f>COUNTIFS(#REF!,"Fail",#REF!,"Low")</f>
        <v/>
      </c>
      <c r="P104" s="161">
        <f>R104-N104-O104-Q104</f>
        <v/>
      </c>
      <c r="Q104" s="161">
        <f>COUNTIFS(#REF!,"Rejected",#REF!,"Low")</f>
        <v/>
      </c>
      <c r="R104" s="162">
        <f>#REF!</f>
        <v/>
      </c>
      <c r="S104" s="118">
        <f>H104+M104+R104</f>
        <v/>
      </c>
      <c r="T104" s="311">
        <f>#REF!</f>
        <v/>
      </c>
      <c r="U104" s="119">
        <f>#REF!</f>
        <v/>
      </c>
      <c r="V104" s="301" t="n"/>
      <c r="W104" s="289" t="n"/>
      <c r="X104" s="302" t="n"/>
    </row>
    <row r="105">
      <c r="A105" s="303" t="n"/>
      <c r="B105" s="304" t="n"/>
      <c r="C105" s="58">
        <f>C5</f>
        <v/>
      </c>
      <c r="D105" s="120">
        <f>COUNTIFS(#REF!,"Pass",#REF!,"High")</f>
        <v/>
      </c>
      <c r="E105" s="121">
        <f>COUNTIFS(#REF!,"Fail",#REF!,"High")</f>
        <v/>
      </c>
      <c r="F105" s="121">
        <f>H105-D105-E105-G105</f>
        <v/>
      </c>
      <c r="G105" s="121">
        <f>COUNTIFS(#REF!,"Rejected",#REF!,"High")</f>
        <v/>
      </c>
      <c r="H105" s="122">
        <f>$H$104</f>
        <v/>
      </c>
      <c r="I105" s="123">
        <f>COUNTIFS(#REF!,"Pass",#REF!,"Normal")</f>
        <v/>
      </c>
      <c r="J105" s="124">
        <f>COUNTIFS(#REF!,"Fail",#REF!,"Normal")</f>
        <v/>
      </c>
      <c r="K105" s="124">
        <f>M105-I105-J105-L105</f>
        <v/>
      </c>
      <c r="L105" s="124">
        <f>COUNTIFS(#REF!,"Rejected",#REF!,"Normal")</f>
        <v/>
      </c>
      <c r="M105" s="125">
        <f>$M$104</f>
        <v/>
      </c>
      <c r="N105" s="163">
        <f>COUNTIFS(#REF!,"Pass",#REF!,"Low")</f>
        <v/>
      </c>
      <c r="O105" s="164">
        <f>COUNTIFS(#REF!,"Fail",#REF!,"Low")</f>
        <v/>
      </c>
      <c r="P105" s="164">
        <f>R105-N105-O105-Q105</f>
        <v/>
      </c>
      <c r="Q105" s="164">
        <f>COUNTIFS(#REF!,"Rejected",#REF!,"Low")</f>
        <v/>
      </c>
      <c r="R105" s="168">
        <f>$R$104</f>
        <v/>
      </c>
      <c r="S105" s="129">
        <f>H105+M105+R105</f>
        <v/>
      </c>
      <c r="T105" s="304" t="n"/>
      <c r="U105" s="130">
        <f>#REF!</f>
        <v/>
      </c>
      <c r="V105" s="305" t="n"/>
      <c r="W105" s="291" t="n"/>
      <c r="X105" s="306" t="n"/>
    </row>
    <row r="106" ht="15.75" customHeight="1">
      <c r="A106" s="303" t="n"/>
      <c r="B106" s="304" t="n"/>
      <c r="C106" s="58">
        <f>C6</f>
        <v/>
      </c>
      <c r="D106" s="120">
        <f>COUNTIFS(#REF!,"Pass",#REF!,"High")</f>
        <v/>
      </c>
      <c r="E106" s="121">
        <f>COUNTIFS(#REF!,"Fail",#REF!,"High")</f>
        <v/>
      </c>
      <c r="F106" s="121">
        <f>H106-D106-E106-G106</f>
        <v/>
      </c>
      <c r="G106" s="121">
        <f>COUNTIFS(#REF!,"Rejected",#REF!,"High")</f>
        <v/>
      </c>
      <c r="H106" s="122">
        <f>$H$104</f>
        <v/>
      </c>
      <c r="I106" s="123">
        <f>COUNTIFS(#REF!,"Pass",#REF!,"Normal")</f>
        <v/>
      </c>
      <c r="J106" s="124">
        <f>COUNTIFS(#REF!,"Fail",#REF!,"Normal")</f>
        <v/>
      </c>
      <c r="K106" s="124">
        <f>M106-I106-J106-L106</f>
        <v/>
      </c>
      <c r="L106" s="124">
        <f>COUNTIFS(#REF!,"Rejected",#REF!,"Normal")</f>
        <v/>
      </c>
      <c r="M106" s="125">
        <f>$M$104</f>
        <v/>
      </c>
      <c r="N106" s="163">
        <f>COUNTIFS(#REF!,"Pass",#REF!,"Low")</f>
        <v/>
      </c>
      <c r="O106" s="164">
        <f>COUNTIFS(#REF!,"Fail",#REF!,"Low")</f>
        <v/>
      </c>
      <c r="P106" s="164">
        <f>R106-N106-O106-Q106</f>
        <v/>
      </c>
      <c r="Q106" s="164">
        <f>COUNTIFS(#REF!,"Rejected",#REF!,"Low")</f>
        <v/>
      </c>
      <c r="R106" s="168">
        <f>$R$104</f>
        <v/>
      </c>
      <c r="S106" s="129">
        <f>H106+M106+R106</f>
        <v/>
      </c>
      <c r="T106" s="304" t="n"/>
      <c r="U106" s="130">
        <f>#REF!</f>
        <v/>
      </c>
      <c r="V106" s="305" t="n"/>
      <c r="W106" s="291" t="n"/>
      <c r="X106" s="306" t="n"/>
    </row>
    <row r="107">
      <c r="A107" s="303" t="n"/>
      <c r="B107" s="304" t="n"/>
      <c r="C107" s="58">
        <f>C7</f>
        <v/>
      </c>
      <c r="D107" s="120">
        <f>COUNTIFS(#REF!,"Pass",#REF!,"High")</f>
        <v/>
      </c>
      <c r="E107" s="121">
        <f>COUNTIFS(#REF!,"Fail",#REF!,"High")</f>
        <v/>
      </c>
      <c r="F107" s="121">
        <f>H107-D107-E107-G107</f>
        <v/>
      </c>
      <c r="G107" s="121">
        <f>COUNTIFS(#REF!,"Rejected",#REF!,"High")</f>
        <v/>
      </c>
      <c r="H107" s="122">
        <f>$H$104</f>
        <v/>
      </c>
      <c r="I107" s="123">
        <f>COUNTIFS(#REF!,"Pass",#REF!,"Normal")</f>
        <v/>
      </c>
      <c r="J107" s="124">
        <f>COUNTIFS(#REF!,"Fail",#REF!,"Normal")</f>
        <v/>
      </c>
      <c r="K107" s="124">
        <f>M107-I107-J107-L107</f>
        <v/>
      </c>
      <c r="L107" s="124">
        <f>COUNTIFS(#REF!,"Rejected",#REF!,"Normal")</f>
        <v/>
      </c>
      <c r="M107" s="125">
        <f>$M$104</f>
        <v/>
      </c>
      <c r="N107" s="163">
        <f>COUNTIFS(#REF!,"Pass",#REF!,"Low")</f>
        <v/>
      </c>
      <c r="O107" s="164">
        <f>COUNTIFS(#REF!,"Fail",#REF!,"Low")</f>
        <v/>
      </c>
      <c r="P107" s="164">
        <f>R107-N107-O107-Q107</f>
        <v/>
      </c>
      <c r="Q107" s="164">
        <f>COUNTIFS(#REF!,"Rejected",#REF!,"Low")</f>
        <v/>
      </c>
      <c r="R107" s="168">
        <f>$R$104</f>
        <v/>
      </c>
      <c r="S107" s="129">
        <f>H107+M107+R107</f>
        <v/>
      </c>
      <c r="T107" s="304" t="n"/>
      <c r="U107" s="130">
        <f>#REF!</f>
        <v/>
      </c>
      <c r="V107" s="305" t="n"/>
      <c r="W107" s="291" t="n"/>
      <c r="X107" s="306" t="n"/>
    </row>
    <row r="108">
      <c r="A108" s="303" t="n"/>
      <c r="B108" s="304" t="n"/>
      <c r="C108" s="58">
        <f>C8</f>
        <v/>
      </c>
      <c r="D108" s="120">
        <f>COUNTIFS(#REF!,"Pass",#REF!,"High")</f>
        <v/>
      </c>
      <c r="E108" s="121">
        <f>COUNTIFS(#REF!,"Fail",#REF!,"High")</f>
        <v/>
      </c>
      <c r="F108" s="121">
        <f>H108-D108-E108-G108</f>
        <v/>
      </c>
      <c r="G108" s="121">
        <f>COUNTIFS(#REF!,"Rejected",#REF!,"High")</f>
        <v/>
      </c>
      <c r="H108" s="122">
        <f>$H$104</f>
        <v/>
      </c>
      <c r="I108" s="123">
        <f>COUNTIFS(#REF!,"Pass",#REF!,"Normal")</f>
        <v/>
      </c>
      <c r="J108" s="124">
        <f>COUNTIFS(#REF!,"Fail",#REF!,"Normal")</f>
        <v/>
      </c>
      <c r="K108" s="124">
        <f>M108-I108-J108-L108</f>
        <v/>
      </c>
      <c r="L108" s="124">
        <f>COUNTIFS(#REF!,"Rejected",#REF!,"Normal")</f>
        <v/>
      </c>
      <c r="M108" s="125">
        <f>$M$104</f>
        <v/>
      </c>
      <c r="N108" s="163">
        <f>COUNTIFS(#REF!,"Pass",#REF!,"Low")</f>
        <v/>
      </c>
      <c r="O108" s="164">
        <f>COUNTIFS(#REF!,"Fail",#REF!,"Low")</f>
        <v/>
      </c>
      <c r="P108" s="164">
        <f>R108-N108-O108-Q108</f>
        <v/>
      </c>
      <c r="Q108" s="164">
        <f>COUNTIFS(#REF!,"Rejected",#REF!,"Low")</f>
        <v/>
      </c>
      <c r="R108" s="168">
        <f>$R$104</f>
        <v/>
      </c>
      <c r="S108" s="129">
        <f>H108+M108+R108</f>
        <v/>
      </c>
      <c r="T108" s="304" t="n"/>
      <c r="U108" s="130">
        <f>#REF!</f>
        <v/>
      </c>
      <c r="V108" s="305" t="n"/>
      <c r="W108" s="291" t="n"/>
      <c r="X108" s="306" t="n"/>
    </row>
    <row r="109" ht="18.75" customHeight="1" thickBot="1">
      <c r="A109" s="298" t="n"/>
      <c r="B109" s="293" t="n"/>
      <c r="C109" s="132">
        <f>C9</f>
        <v/>
      </c>
      <c r="D109" s="133">
        <f>COUNTIFS(#REF!,"Pass",#REF!,"High")</f>
        <v/>
      </c>
      <c r="E109" s="134">
        <f>COUNTIFS(#REF!,"Fail",#REF!,"High")</f>
        <v/>
      </c>
      <c r="F109" s="134">
        <f>H109-D109-E109-G109</f>
        <v/>
      </c>
      <c r="G109" s="134">
        <f>COUNTIFS(#REF!,"Rejected",#REF!,"High")</f>
        <v/>
      </c>
      <c r="H109" s="122">
        <f>$H$104</f>
        <v/>
      </c>
      <c r="I109" s="136">
        <f>COUNTIFS(#REF!,"Pass",#REF!,"Normal")</f>
        <v/>
      </c>
      <c r="J109" s="137">
        <f>COUNTIFS(#REF!,"Fail",#REF!,"Normal")</f>
        <v/>
      </c>
      <c r="K109" s="137">
        <f>M109-I109-J109-L109</f>
        <v/>
      </c>
      <c r="L109" s="137">
        <f>COUNTIFS(#REF!,"Rejected",#REF!,"Normal")</f>
        <v/>
      </c>
      <c r="M109" s="125">
        <f>$M$104</f>
        <v/>
      </c>
      <c r="N109" s="166">
        <f>COUNTIFS(#REF!,"Pass",#REF!,"Low")</f>
        <v/>
      </c>
      <c r="O109" s="167">
        <f>COUNTIFS(#REF!,"Fail",#REF!,"Low")</f>
        <v/>
      </c>
      <c r="P109" s="167">
        <f>R109-N109-O109-Q109</f>
        <v/>
      </c>
      <c r="Q109" s="167">
        <f>COUNTIFS(#REF!,"Rejected",#REF!,"Low")</f>
        <v/>
      </c>
      <c r="R109" s="168">
        <f>$R$104</f>
        <v/>
      </c>
      <c r="S109" s="140">
        <f>H109+M109+R109</f>
        <v/>
      </c>
      <c r="T109" s="313" t="n"/>
      <c r="U109" s="141">
        <f>#REF!</f>
        <v/>
      </c>
      <c r="V109" s="307" t="n"/>
      <c r="W109" s="294" t="n"/>
      <c r="X109" s="308" t="n"/>
    </row>
    <row r="110">
      <c r="A110" s="192" t="n">
        <v>3</v>
      </c>
      <c r="B110" s="195">
        <f>B62</f>
        <v/>
      </c>
      <c r="C110" s="108">
        <f>C4</f>
        <v/>
      </c>
      <c r="D110" s="109">
        <f>COUNTIFS(#REF!,"Pass",#REF!,"High")</f>
        <v/>
      </c>
      <c r="E110" s="110">
        <f>COUNTIFS(#REF!,"Fail",#REF!,"High")</f>
        <v/>
      </c>
      <c r="F110" s="110">
        <f>H110-D110-E110-G110</f>
        <v/>
      </c>
      <c r="G110" s="110">
        <f>COUNTIFS(#REF!,"Rejected",#REF!,"High")</f>
        <v/>
      </c>
      <c r="H110" s="111">
        <f>#REF!</f>
        <v/>
      </c>
      <c r="I110" s="112">
        <f>COUNTIFS(#REF!,"Pass",#REF!,"Normal")</f>
        <v/>
      </c>
      <c r="J110" s="113">
        <f>COUNTIFS(#REF!,"Fail",#REF!,"Normal")</f>
        <v/>
      </c>
      <c r="K110" s="113">
        <f>M110-I110-J110-L110</f>
        <v/>
      </c>
      <c r="L110" s="113">
        <f>COUNTIFS(#REF!,"Rejected",#REF!,"Normal")</f>
        <v/>
      </c>
      <c r="M110" s="114">
        <f>#REF!</f>
        <v/>
      </c>
      <c r="N110" s="160">
        <f>COUNTIFS(#REF!,"Pass",#REF!,"Low")</f>
        <v/>
      </c>
      <c r="O110" s="161">
        <f>COUNTIFS(#REF!,"Fail",#REF!,"Low")</f>
        <v/>
      </c>
      <c r="P110" s="161">
        <f>R110-N110-O110-Q110</f>
        <v/>
      </c>
      <c r="Q110" s="161">
        <f>COUNTIFS(#REF!,"Rejected",#REF!,"Low")</f>
        <v/>
      </c>
      <c r="R110" s="162">
        <f>#REF!</f>
        <v/>
      </c>
      <c r="S110" s="118">
        <f>H110+M110+R110</f>
        <v/>
      </c>
      <c r="T110" s="311">
        <f>#REF!</f>
        <v/>
      </c>
      <c r="U110" s="119">
        <f>#REF!</f>
        <v/>
      </c>
      <c r="V110" s="301" t="n"/>
      <c r="W110" s="289" t="n"/>
      <c r="X110" s="302" t="n"/>
    </row>
    <row r="111">
      <c r="A111" s="303" t="n"/>
      <c r="B111" s="304" t="n"/>
      <c r="C111" s="58">
        <f>C5</f>
        <v/>
      </c>
      <c r="D111" s="120">
        <f>COUNTIFS(#REF!,"Pass",#REF!,"High")</f>
        <v/>
      </c>
      <c r="E111" s="121">
        <f>COUNTIFS(#REF!,"Fail",#REF!,"High")</f>
        <v/>
      </c>
      <c r="F111" s="121">
        <f>H111-D111-E111-G111</f>
        <v/>
      </c>
      <c r="G111" s="121">
        <f>COUNTIFS(#REF!,"Rejected",#REF!,"High")</f>
        <v/>
      </c>
      <c r="H111" s="122">
        <f>$H$110</f>
        <v/>
      </c>
      <c r="I111" s="123">
        <f>COUNTIFS(#REF!,"Pass",#REF!,"Normal")</f>
        <v/>
      </c>
      <c r="J111" s="124">
        <f>COUNTIFS(#REF!,"Fail",#REF!,"Normal")</f>
        <v/>
      </c>
      <c r="K111" s="124">
        <f>M111-I111-J111-L111</f>
        <v/>
      </c>
      <c r="L111" s="124">
        <f>COUNTIFS(#REF!,"Rejected",#REF!,"Normal")</f>
        <v/>
      </c>
      <c r="M111" s="125">
        <f>$M$110</f>
        <v/>
      </c>
      <c r="N111" s="163">
        <f>COUNTIFS(#REF!,"Pass",#REF!,"Low")</f>
        <v/>
      </c>
      <c r="O111" s="164">
        <f>COUNTIFS(#REF!,"Fail",#REF!,"Low")</f>
        <v/>
      </c>
      <c r="P111" s="164">
        <f>R111-N111-O111-Q111</f>
        <v/>
      </c>
      <c r="Q111" s="164">
        <f>COUNTIFS(#REF!,"Rejected",#REF!,"Low")</f>
        <v/>
      </c>
      <c r="R111" s="168">
        <f>$R$110</f>
        <v/>
      </c>
      <c r="S111" s="129">
        <f>H111+M111+R111</f>
        <v/>
      </c>
      <c r="T111" s="304" t="n"/>
      <c r="U111" s="130">
        <f>#REF!</f>
        <v/>
      </c>
      <c r="V111" s="305" t="n"/>
      <c r="W111" s="291" t="n"/>
      <c r="X111" s="306" t="n"/>
    </row>
    <row r="112">
      <c r="A112" s="303" t="n"/>
      <c r="B112" s="304" t="n"/>
      <c r="C112" s="58">
        <f>C6</f>
        <v/>
      </c>
      <c r="D112" s="120">
        <f>COUNTIFS(#REF!,"Pass",#REF!,"High")</f>
        <v/>
      </c>
      <c r="E112" s="121">
        <f>COUNTIFS(#REF!,"Fail",#REF!,"High")</f>
        <v/>
      </c>
      <c r="F112" s="121">
        <f>H112-D112-E112-G112</f>
        <v/>
      </c>
      <c r="G112" s="121">
        <f>COUNTIFS(#REF!,"Rejected",#REF!,"High")</f>
        <v/>
      </c>
      <c r="H112" s="122">
        <f>$H$110</f>
        <v/>
      </c>
      <c r="I112" s="123">
        <f>COUNTIFS(#REF!,"Pass",#REF!,"Normal")</f>
        <v/>
      </c>
      <c r="J112" s="124">
        <f>COUNTIFS(#REF!,"Fail",#REF!,"Normal")</f>
        <v/>
      </c>
      <c r="K112" s="124">
        <f>M112-I112-J112-L112</f>
        <v/>
      </c>
      <c r="L112" s="124">
        <f>COUNTIFS(#REF!,"Rejected",#REF!,"Normal")</f>
        <v/>
      </c>
      <c r="M112" s="125">
        <f>$M$110</f>
        <v/>
      </c>
      <c r="N112" s="163">
        <f>COUNTIFS(#REF!,"Pass",#REF!,"Low")</f>
        <v/>
      </c>
      <c r="O112" s="164">
        <f>COUNTIFS(#REF!,"Fail",#REF!,"Low")</f>
        <v/>
      </c>
      <c r="P112" s="164">
        <f>R112-N112-O112-Q112</f>
        <v/>
      </c>
      <c r="Q112" s="164">
        <f>COUNTIFS(#REF!,"Rejected",#REF!,"Low")</f>
        <v/>
      </c>
      <c r="R112" s="168">
        <f>$R$110</f>
        <v/>
      </c>
      <c r="S112" s="129">
        <f>H112+M112+R112</f>
        <v/>
      </c>
      <c r="T112" s="304" t="n"/>
      <c r="U112" s="130">
        <f>#REF!</f>
        <v/>
      </c>
      <c r="V112" s="305" t="n"/>
      <c r="W112" s="291" t="n"/>
      <c r="X112" s="306" t="n"/>
    </row>
    <row r="113">
      <c r="A113" s="303" t="n"/>
      <c r="B113" s="304" t="n"/>
      <c r="C113" s="58">
        <f>C7</f>
        <v/>
      </c>
      <c r="D113" s="120">
        <f>COUNTIFS(#REF!,"Pass",#REF!,"High")</f>
        <v/>
      </c>
      <c r="E113" s="121">
        <f>COUNTIFS(#REF!,"Fail",#REF!,"High")</f>
        <v/>
      </c>
      <c r="F113" s="121">
        <f>H113-D113-E113-G113</f>
        <v/>
      </c>
      <c r="G113" s="121">
        <f>COUNTIFS(#REF!,"Rejected",#REF!,"High")</f>
        <v/>
      </c>
      <c r="H113" s="122">
        <f>$H$110</f>
        <v/>
      </c>
      <c r="I113" s="123">
        <f>COUNTIFS(#REF!,"Pass",#REF!,"Normal")</f>
        <v/>
      </c>
      <c r="J113" s="124">
        <f>COUNTIFS(#REF!,"Fail",#REF!,"Normal")</f>
        <v/>
      </c>
      <c r="K113" s="124">
        <f>M113-I113-J113-L113</f>
        <v/>
      </c>
      <c r="L113" s="124">
        <f>COUNTIFS(#REF!,"Rejected",#REF!,"Normal")</f>
        <v/>
      </c>
      <c r="M113" s="125">
        <f>$M$110</f>
        <v/>
      </c>
      <c r="N113" s="163">
        <f>COUNTIFS(#REF!,"Pass",#REF!,"Low")</f>
        <v/>
      </c>
      <c r="O113" s="164">
        <f>COUNTIFS(#REF!,"Fail",#REF!,"Low")</f>
        <v/>
      </c>
      <c r="P113" s="164">
        <f>R113-N113-O113-Q113</f>
        <v/>
      </c>
      <c r="Q113" s="164">
        <f>COUNTIFS(#REF!,"Rejected",#REF!,"Low")</f>
        <v/>
      </c>
      <c r="R113" s="168">
        <f>$R$110</f>
        <v/>
      </c>
      <c r="S113" s="129">
        <f>H113+M113+R113</f>
        <v/>
      </c>
      <c r="T113" s="304" t="n"/>
      <c r="U113" s="130">
        <f>#REF!</f>
        <v/>
      </c>
      <c r="V113" s="305" t="n"/>
      <c r="W113" s="291" t="n"/>
      <c r="X113" s="306" t="n"/>
    </row>
    <row r="114">
      <c r="A114" s="303" t="n"/>
      <c r="B114" s="304" t="n"/>
      <c r="C114" s="58">
        <f>C8</f>
        <v/>
      </c>
      <c r="D114" s="120">
        <f>COUNTIFS(#REF!,"Pass",#REF!,"High")</f>
        <v/>
      </c>
      <c r="E114" s="121">
        <f>COUNTIFS(#REF!,"Fail",#REF!,"High")</f>
        <v/>
      </c>
      <c r="F114" s="121">
        <f>H114-D114-E114-G114</f>
        <v/>
      </c>
      <c r="G114" s="121">
        <f>COUNTIFS(#REF!,"Rejected",#REF!,"High")</f>
        <v/>
      </c>
      <c r="H114" s="122">
        <f>$H$110</f>
        <v/>
      </c>
      <c r="I114" s="123">
        <f>COUNTIFS(#REF!,"Pass",#REF!,"Normal")</f>
        <v/>
      </c>
      <c r="J114" s="124">
        <f>COUNTIFS(#REF!,"Fail",#REF!,"Normal")</f>
        <v/>
      </c>
      <c r="K114" s="124">
        <f>M114-I114-J114-L114</f>
        <v/>
      </c>
      <c r="L114" s="124">
        <f>COUNTIFS(#REF!,"Rejected",#REF!,"Normal")</f>
        <v/>
      </c>
      <c r="M114" s="125">
        <f>$M$110</f>
        <v/>
      </c>
      <c r="N114" s="163">
        <f>COUNTIFS(#REF!,"Pass",#REF!,"Low")</f>
        <v/>
      </c>
      <c r="O114" s="164">
        <f>COUNTIFS(#REF!,"Fail",#REF!,"Low")</f>
        <v/>
      </c>
      <c r="P114" s="164">
        <f>R114-N114-O114-Q114</f>
        <v/>
      </c>
      <c r="Q114" s="164">
        <f>COUNTIFS(#REF!,"Rejected",#REF!,"Low")</f>
        <v/>
      </c>
      <c r="R114" s="168">
        <f>$R$110</f>
        <v/>
      </c>
      <c r="S114" s="129">
        <f>H114+M114+R114</f>
        <v/>
      </c>
      <c r="T114" s="304" t="n"/>
      <c r="U114" s="130">
        <f>#REF!</f>
        <v/>
      </c>
      <c r="V114" s="305" t="n"/>
      <c r="W114" s="291" t="n"/>
      <c r="X114" s="306" t="n"/>
    </row>
    <row r="115" ht="11" customHeight="1" thickBot="1">
      <c r="A115" s="298" t="n"/>
      <c r="B115" s="293" t="n"/>
      <c r="C115" s="132">
        <f>C9</f>
        <v/>
      </c>
      <c r="D115" s="133">
        <f>COUNTIFS(#REF!,"Pass",#REF!,"High")</f>
        <v/>
      </c>
      <c r="E115" s="134">
        <f>COUNTIFS(#REF!,"Fail",#REF!,"High")</f>
        <v/>
      </c>
      <c r="F115" s="134">
        <f>H115-D115-E115-G115</f>
        <v/>
      </c>
      <c r="G115" s="134">
        <f>COUNTIFS(#REF!,"Rejected",#REF!,"High")</f>
        <v/>
      </c>
      <c r="H115" s="122">
        <f>$H$110</f>
        <v/>
      </c>
      <c r="I115" s="136">
        <f>COUNTIFS(#REF!,"Pass",#REF!,"Normal")</f>
        <v/>
      </c>
      <c r="J115" s="137">
        <f>COUNTIFS(#REF!,"Fail",#REF!,"Normal")</f>
        <v/>
      </c>
      <c r="K115" s="137">
        <f>M115-I115-J115-L115</f>
        <v/>
      </c>
      <c r="L115" s="137">
        <f>COUNTIFS(#REF!,"Rejected",#REF!,"Normal")</f>
        <v/>
      </c>
      <c r="M115" s="125">
        <f>$M$110</f>
        <v/>
      </c>
      <c r="N115" s="166">
        <f>COUNTIFS(#REF!,"Pass",#REF!,"Low")</f>
        <v/>
      </c>
      <c r="O115" s="167">
        <f>COUNTIFS(#REF!,"Fail",#REF!,"Low")</f>
        <v/>
      </c>
      <c r="P115" s="167">
        <f>R115-N115-O115-Q115</f>
        <v/>
      </c>
      <c r="Q115" s="167">
        <f>COUNTIFS(#REF!,"Rejected",#REF!,"Low")</f>
        <v/>
      </c>
      <c r="R115" s="168">
        <f>$R$110</f>
        <v/>
      </c>
      <c r="S115" s="140">
        <f>H115+M115+R115</f>
        <v/>
      </c>
      <c r="T115" s="313" t="n"/>
      <c r="U115" s="141">
        <f>#REF!</f>
        <v/>
      </c>
      <c r="V115" s="307" t="n"/>
      <c r="W115" s="294" t="n"/>
      <c r="X115" s="308" t="n"/>
    </row>
    <row r="116">
      <c r="A116" s="192" t="n">
        <v>4</v>
      </c>
      <c r="B116" s="195">
        <f>B68</f>
        <v/>
      </c>
      <c r="C116" s="108">
        <f>C4</f>
        <v/>
      </c>
      <c r="D116" s="109">
        <f>COUNTIFS(#REF!,"Pass",#REF!,"High")</f>
        <v/>
      </c>
      <c r="E116" s="110">
        <f>COUNTIFS(#REF!,"Fail",#REF!,"High")</f>
        <v/>
      </c>
      <c r="F116" s="110">
        <f>H116-D116-E116-G116</f>
        <v/>
      </c>
      <c r="G116" s="110">
        <f>COUNTIFS(#REF!,"Rejected",#REF!,"High")</f>
        <v/>
      </c>
      <c r="H116" s="111">
        <f>#REF!</f>
        <v/>
      </c>
      <c r="I116" s="112">
        <f>COUNTIFS(#REF!,"Pass",#REF!,"Normal")</f>
        <v/>
      </c>
      <c r="J116" s="113">
        <f>COUNTIFS(#REF!,"Fail",#REF!,"Normal")</f>
        <v/>
      </c>
      <c r="K116" s="113">
        <f>M116-I116-J116-L116</f>
        <v/>
      </c>
      <c r="L116" s="113">
        <f>COUNTIFS(#REF!,"Rejected",#REF!,"Normal")</f>
        <v/>
      </c>
      <c r="M116" s="114">
        <f>#REF!</f>
        <v/>
      </c>
      <c r="N116" s="160">
        <f>COUNTIFS(#REF!,"Pass",#REF!,"Low")</f>
        <v/>
      </c>
      <c r="O116" s="161">
        <f>COUNTIFS(#REF!,"Fail",#REF!,"Low")</f>
        <v/>
      </c>
      <c r="P116" s="161">
        <f>R116-N116-O116-Q116</f>
        <v/>
      </c>
      <c r="Q116" s="161">
        <f>COUNTIFS(#REF!,"Rejected",#REF!,"Low")</f>
        <v/>
      </c>
      <c r="R116" s="162">
        <f>#REF!</f>
        <v/>
      </c>
      <c r="S116" s="118">
        <f>H116+M116+R116</f>
        <v/>
      </c>
      <c r="T116" s="311">
        <f>#REF!</f>
        <v/>
      </c>
      <c r="U116" s="119">
        <f>#REF!</f>
        <v/>
      </c>
      <c r="V116" s="301" t="n"/>
      <c r="W116" s="289" t="n"/>
      <c r="X116" s="302" t="n"/>
    </row>
    <row r="117">
      <c r="A117" s="303" t="n"/>
      <c r="B117" s="304" t="n"/>
      <c r="C117" s="58">
        <f>C5</f>
        <v/>
      </c>
      <c r="D117" s="120">
        <f>COUNTIFS(#REF!,"Pass",#REF!,"High")</f>
        <v/>
      </c>
      <c r="E117" s="121">
        <f>COUNTIFS(#REF!,"Fail",#REF!,"High")</f>
        <v/>
      </c>
      <c r="F117" s="121">
        <f>H117-D117-E117-G117</f>
        <v/>
      </c>
      <c r="G117" s="121">
        <f>COUNTIFS(#REF!,"Rejected",#REF!,"High")</f>
        <v/>
      </c>
      <c r="H117" s="122">
        <f>$H$116</f>
        <v/>
      </c>
      <c r="I117" s="123">
        <f>COUNTIFS(#REF!,"Pass",#REF!,"Normal")</f>
        <v/>
      </c>
      <c r="J117" s="124">
        <f>COUNTIFS(#REF!,"Fail",#REF!,"Normal")</f>
        <v/>
      </c>
      <c r="K117" s="124">
        <f>M117-I117-J117-L117</f>
        <v/>
      </c>
      <c r="L117" s="124">
        <f>COUNTIFS(#REF!,"Rejected",#REF!,"Normal")</f>
        <v/>
      </c>
      <c r="M117" s="125">
        <f>$M$116</f>
        <v/>
      </c>
      <c r="N117" s="163">
        <f>COUNTIFS(#REF!,"Pass",#REF!,"Low")</f>
        <v/>
      </c>
      <c r="O117" s="164">
        <f>COUNTIFS(#REF!,"Fail",#REF!,"Low")</f>
        <v/>
      </c>
      <c r="P117" s="164">
        <f>R117-N117-O117-Q117</f>
        <v/>
      </c>
      <c r="Q117" s="164">
        <f>COUNTIFS(#REF!,"Rejected",#REF!,"Low")</f>
        <v/>
      </c>
      <c r="R117" s="168">
        <f>$R$116</f>
        <v/>
      </c>
      <c r="S117" s="129">
        <f>H117+M117+R117</f>
        <v/>
      </c>
      <c r="T117" s="304" t="n"/>
      <c r="U117" s="130">
        <f>#REF!</f>
        <v/>
      </c>
      <c r="V117" s="305" t="n"/>
      <c r="W117" s="291" t="n"/>
      <c r="X117" s="306" t="n"/>
    </row>
    <row r="118">
      <c r="A118" s="303" t="n"/>
      <c r="B118" s="304" t="n"/>
      <c r="C118" s="58">
        <f>C6</f>
        <v/>
      </c>
      <c r="D118" s="120">
        <f>COUNTIFS(#REF!,"Pass",#REF!,"High")</f>
        <v/>
      </c>
      <c r="E118" s="121">
        <f>COUNTIFS(#REF!,"Fail",#REF!,"High")</f>
        <v/>
      </c>
      <c r="F118" s="121">
        <f>H118-D118-E118-G118</f>
        <v/>
      </c>
      <c r="G118" s="121">
        <f>COUNTIFS(#REF!,"Rejected",#REF!,"High")</f>
        <v/>
      </c>
      <c r="H118" s="122">
        <f>$H$116</f>
        <v/>
      </c>
      <c r="I118" s="123">
        <f>COUNTIFS(#REF!,"Pass",#REF!,"Normal")</f>
        <v/>
      </c>
      <c r="J118" s="124">
        <f>COUNTIFS(#REF!,"Fail",#REF!,"Normal")</f>
        <v/>
      </c>
      <c r="K118" s="124">
        <f>M118-I118-J118-L118</f>
        <v/>
      </c>
      <c r="L118" s="124">
        <f>COUNTIFS(#REF!,"Rejected",#REF!,"Normal")</f>
        <v/>
      </c>
      <c r="M118" s="125">
        <f>$M$116</f>
        <v/>
      </c>
      <c r="N118" s="163">
        <f>COUNTIFS(#REF!,"Pass",#REF!,"Low")</f>
        <v/>
      </c>
      <c r="O118" s="164">
        <f>COUNTIFS(#REF!,"Fail",#REF!,"Low")</f>
        <v/>
      </c>
      <c r="P118" s="164">
        <f>R118-N118-O118-Q118</f>
        <v/>
      </c>
      <c r="Q118" s="164">
        <f>COUNTIFS(#REF!,"Rejected",#REF!,"Low")</f>
        <v/>
      </c>
      <c r="R118" s="168">
        <f>$R$116</f>
        <v/>
      </c>
      <c r="S118" s="129">
        <f>H118+M118+R118</f>
        <v/>
      </c>
      <c r="T118" s="304" t="n"/>
      <c r="U118" s="130">
        <f>#REF!</f>
        <v/>
      </c>
      <c r="V118" s="305" t="n"/>
      <c r="W118" s="291" t="n"/>
      <c r="X118" s="306" t="n"/>
    </row>
    <row r="119">
      <c r="A119" s="303" t="n"/>
      <c r="B119" s="304" t="n"/>
      <c r="C119" s="58">
        <f>C7</f>
        <v/>
      </c>
      <c r="D119" s="120">
        <f>COUNTIFS(#REF!,"Pass",#REF!,"High")</f>
        <v/>
      </c>
      <c r="E119" s="121">
        <f>COUNTIFS(#REF!,"Fail",#REF!,"High")</f>
        <v/>
      </c>
      <c r="F119" s="121">
        <f>H119-D119-E119-G119</f>
        <v/>
      </c>
      <c r="G119" s="121">
        <f>COUNTIFS(#REF!,"Rejected",#REF!,"High")</f>
        <v/>
      </c>
      <c r="H119" s="122">
        <f>$H$116</f>
        <v/>
      </c>
      <c r="I119" s="123">
        <f>COUNTIFS(#REF!,"Pass",#REF!,"Normal")</f>
        <v/>
      </c>
      <c r="J119" s="124">
        <f>COUNTIFS(#REF!,"Fail",#REF!,"Normal")</f>
        <v/>
      </c>
      <c r="K119" s="124">
        <f>M119-I119-J119-L119</f>
        <v/>
      </c>
      <c r="L119" s="124">
        <f>COUNTIFS(#REF!,"Rejected",#REF!,"Normal")</f>
        <v/>
      </c>
      <c r="M119" s="125">
        <f>$M$116</f>
        <v/>
      </c>
      <c r="N119" s="163">
        <f>COUNTIFS(#REF!,"Pass",#REF!,"Low")</f>
        <v/>
      </c>
      <c r="O119" s="164">
        <f>COUNTIFS(#REF!,"Fail",#REF!,"Low")</f>
        <v/>
      </c>
      <c r="P119" s="164">
        <f>R119-N119-O119-Q119</f>
        <v/>
      </c>
      <c r="Q119" s="164">
        <f>COUNTIFS(#REF!,"Rejected",#REF!,"Low")</f>
        <v/>
      </c>
      <c r="R119" s="168">
        <f>$R$116</f>
        <v/>
      </c>
      <c r="S119" s="129">
        <f>H119+M119+R119</f>
        <v/>
      </c>
      <c r="T119" s="304" t="n"/>
      <c r="U119" s="130">
        <f>#REF!</f>
        <v/>
      </c>
      <c r="V119" s="305" t="n"/>
      <c r="W119" s="291" t="n"/>
      <c r="X119" s="306" t="n"/>
    </row>
    <row r="120">
      <c r="A120" s="303" t="n"/>
      <c r="B120" s="304" t="n"/>
      <c r="C120" s="58">
        <f>C8</f>
        <v/>
      </c>
      <c r="D120" s="120">
        <f>COUNTIFS(#REF!,"Pass",#REF!,"High")</f>
        <v/>
      </c>
      <c r="E120" s="121">
        <f>COUNTIFS(#REF!,"Fail",#REF!,"High")</f>
        <v/>
      </c>
      <c r="F120" s="121">
        <f>H120-D120-E120-G120</f>
        <v/>
      </c>
      <c r="G120" s="121">
        <f>COUNTIFS(#REF!,"Rejected",#REF!,"High")</f>
        <v/>
      </c>
      <c r="H120" s="122">
        <f>$H$116</f>
        <v/>
      </c>
      <c r="I120" s="123">
        <f>COUNTIFS(#REF!,"Pass",#REF!,"Normal")</f>
        <v/>
      </c>
      <c r="J120" s="124">
        <f>COUNTIFS(#REF!,"Fail",#REF!,"Normal")</f>
        <v/>
      </c>
      <c r="K120" s="124">
        <f>M120-I120-J120-L120</f>
        <v/>
      </c>
      <c r="L120" s="124">
        <f>COUNTIFS(#REF!,"Rejected",#REF!,"Normal")</f>
        <v/>
      </c>
      <c r="M120" s="125">
        <f>$M$116</f>
        <v/>
      </c>
      <c r="N120" s="163">
        <f>COUNTIFS(#REF!,"Pass",#REF!,"Low")</f>
        <v/>
      </c>
      <c r="O120" s="164">
        <f>COUNTIFS(#REF!,"Fail",#REF!,"Low")</f>
        <v/>
      </c>
      <c r="P120" s="164">
        <f>R120-N120-O120-Q120</f>
        <v/>
      </c>
      <c r="Q120" s="164">
        <f>COUNTIFS(#REF!,"Rejected",#REF!,"Low")</f>
        <v/>
      </c>
      <c r="R120" s="168">
        <f>$R$116</f>
        <v/>
      </c>
      <c r="S120" s="129">
        <f>H120+M120+R120</f>
        <v/>
      </c>
      <c r="T120" s="304" t="n"/>
      <c r="U120" s="130">
        <f>#REF!</f>
        <v/>
      </c>
      <c r="V120" s="305" t="n"/>
      <c r="W120" s="291" t="n"/>
      <c r="X120" s="306" t="n"/>
    </row>
    <row r="121" ht="11" customHeight="1" thickBot="1">
      <c r="A121" s="298" t="n"/>
      <c r="B121" s="293" t="n"/>
      <c r="C121" s="132">
        <f>C9</f>
        <v/>
      </c>
      <c r="D121" s="133">
        <f>COUNTIFS(#REF!,"Pass",#REF!,"High")</f>
        <v/>
      </c>
      <c r="E121" s="134">
        <f>COUNTIFS(#REF!,"Fail",#REF!,"High")</f>
        <v/>
      </c>
      <c r="F121" s="134">
        <f>H121-D121-E121-G121</f>
        <v/>
      </c>
      <c r="G121" s="134">
        <f>COUNTIFS(#REF!,"Rejected",#REF!,"High")</f>
        <v/>
      </c>
      <c r="H121" s="122">
        <f>$H$116</f>
        <v/>
      </c>
      <c r="I121" s="136">
        <f>COUNTIFS(#REF!,"Pass",#REF!,"Normal")</f>
        <v/>
      </c>
      <c r="J121" s="137">
        <f>COUNTIFS(#REF!,"Fail",#REF!,"Normal")</f>
        <v/>
      </c>
      <c r="K121" s="137">
        <f>M121-I121-J121-L121</f>
        <v/>
      </c>
      <c r="L121" s="137">
        <f>COUNTIFS(#REF!,"Rejected",#REF!,"Normal")</f>
        <v/>
      </c>
      <c r="M121" s="125">
        <f>$M$116</f>
        <v/>
      </c>
      <c r="N121" s="166">
        <f>COUNTIFS(#REF!,"Pass",#REF!,"Low")</f>
        <v/>
      </c>
      <c r="O121" s="167">
        <f>COUNTIFS(#REF!,"Fail",#REF!,"Low")</f>
        <v/>
      </c>
      <c r="P121" s="167">
        <f>R121-N121-O121-Q121</f>
        <v/>
      </c>
      <c r="Q121" s="167">
        <f>COUNTIFS(#REF!,"Rejected",#REF!,"Low")</f>
        <v/>
      </c>
      <c r="R121" s="168">
        <f>$R$116</f>
        <v/>
      </c>
      <c r="S121" s="140">
        <f>H121+M121+R121</f>
        <v/>
      </c>
      <c r="T121" s="313" t="n"/>
      <c r="U121" s="141">
        <f>#REF!</f>
        <v/>
      </c>
      <c r="V121" s="307" t="n"/>
      <c r="W121" s="294" t="n"/>
      <c r="X121" s="308" t="n"/>
    </row>
    <row r="122">
      <c r="A122" s="192" t="n">
        <v>5</v>
      </c>
      <c r="B122" s="195">
        <f>B74</f>
        <v/>
      </c>
      <c r="C122" s="108">
        <f>C4</f>
        <v/>
      </c>
      <c r="D122" s="109">
        <f>COUNTIFS(#REF!,"Pass",#REF!,"High")</f>
        <v/>
      </c>
      <c r="E122" s="110">
        <f>COUNTIFS(#REF!,"Fail",#REF!,"High")</f>
        <v/>
      </c>
      <c r="F122" s="110">
        <f>H122-D122-E122-G122</f>
        <v/>
      </c>
      <c r="G122" s="110">
        <f>COUNTIFS(#REF!,"Rejected",#REF!,"High")</f>
        <v/>
      </c>
      <c r="H122" s="111">
        <f>#REF!</f>
        <v/>
      </c>
      <c r="I122" s="112">
        <f>COUNTIFS(#REF!,"Pass",#REF!,"Normal")</f>
        <v/>
      </c>
      <c r="J122" s="113">
        <f>COUNTIFS(#REF!,"Fail",#REF!,"Normal")</f>
        <v/>
      </c>
      <c r="K122" s="113">
        <f>M122-I122-J122-L122</f>
        <v/>
      </c>
      <c r="L122" s="113">
        <f>COUNTIFS(#REF!,"Rejected",#REF!,"Normal")</f>
        <v/>
      </c>
      <c r="M122" s="114">
        <f>#REF!</f>
        <v/>
      </c>
      <c r="N122" s="160">
        <f>COUNTIFS(#REF!,"Pass",#REF!,"Low")</f>
        <v/>
      </c>
      <c r="O122" s="161">
        <f>COUNTIFS(#REF!,"Fail",#REF!,"Low")</f>
        <v/>
      </c>
      <c r="P122" s="161">
        <f>R122-N122-O122-Q122</f>
        <v/>
      </c>
      <c r="Q122" s="161">
        <f>COUNTIFS(#REF!,"Rejected",#REF!,"Low")</f>
        <v/>
      </c>
      <c r="R122" s="162">
        <f>#REF!</f>
        <v/>
      </c>
      <c r="S122" s="118">
        <f>H122+M122+R122</f>
        <v/>
      </c>
      <c r="T122" s="314">
        <f>#REF!</f>
        <v/>
      </c>
      <c r="U122" s="145">
        <f>#REF!</f>
        <v/>
      </c>
      <c r="V122" s="301" t="n"/>
      <c r="W122" s="289" t="n"/>
      <c r="X122" s="302" t="n"/>
    </row>
    <row r="123">
      <c r="A123" s="303" t="n"/>
      <c r="B123" s="304" t="n"/>
      <c r="C123" s="58">
        <f>C5</f>
        <v/>
      </c>
      <c r="D123" s="120">
        <f>COUNTIFS(#REF!,"Pass",#REF!,"High")</f>
        <v/>
      </c>
      <c r="E123" s="121">
        <f>COUNTIFS(#REF!,"Fail",#REF!,"High")</f>
        <v/>
      </c>
      <c r="F123" s="121">
        <f>H123-D123-E123-G123</f>
        <v/>
      </c>
      <c r="G123" s="121">
        <f>COUNTIFS(#REF!,"Rejected",#REF!,"High")</f>
        <v/>
      </c>
      <c r="H123" s="122">
        <f>$H$122</f>
        <v/>
      </c>
      <c r="I123" s="123">
        <f>COUNTIFS(#REF!,"Pass",#REF!,"Normal")</f>
        <v/>
      </c>
      <c r="J123" s="124">
        <f>COUNTIFS(#REF!,"Fail",#REF!,"Normal")</f>
        <v/>
      </c>
      <c r="K123" s="124">
        <f>M123-I123-J123-L123</f>
        <v/>
      </c>
      <c r="L123" s="124">
        <f>COUNTIFS(#REF!,"Rejected",#REF!,"Normal")</f>
        <v/>
      </c>
      <c r="M123" s="125">
        <f>$M$122</f>
        <v/>
      </c>
      <c r="N123" s="163">
        <f>COUNTIFS(#REF!,"Pass",#REF!,"Low")</f>
        <v/>
      </c>
      <c r="O123" s="164">
        <f>COUNTIFS(#REF!,"Fail",#REF!,"Low")</f>
        <v/>
      </c>
      <c r="P123" s="164">
        <f>R123-N123-O123-Q123</f>
        <v/>
      </c>
      <c r="Q123" s="164">
        <f>COUNTIFS(#REF!,"Rejected",#REF!,"Low")</f>
        <v/>
      </c>
      <c r="R123" s="168">
        <f>$R$122</f>
        <v/>
      </c>
      <c r="S123" s="129">
        <f>H123+M123+R123</f>
        <v/>
      </c>
      <c r="T123" s="304" t="n"/>
      <c r="U123" s="146">
        <f>#REF!</f>
        <v/>
      </c>
      <c r="V123" s="305" t="n"/>
      <c r="W123" s="291" t="n"/>
      <c r="X123" s="306" t="n"/>
    </row>
    <row r="124">
      <c r="A124" s="303" t="n"/>
      <c r="B124" s="304" t="n"/>
      <c r="C124" s="58">
        <f>C6</f>
        <v/>
      </c>
      <c r="D124" s="120">
        <f>COUNTIFS(#REF!,"Pass",#REF!,"High")</f>
        <v/>
      </c>
      <c r="E124" s="121">
        <f>COUNTIFS(#REF!,"Fail",#REF!,"High")</f>
        <v/>
      </c>
      <c r="F124" s="121">
        <f>H124-D124-E124-G124</f>
        <v/>
      </c>
      <c r="G124" s="121">
        <f>COUNTIFS(#REF!,"Rejected",#REF!,"High")</f>
        <v/>
      </c>
      <c r="H124" s="122">
        <f>$H$122</f>
        <v/>
      </c>
      <c r="I124" s="123">
        <f>COUNTIFS(#REF!,"Pass",#REF!,"Normal")</f>
        <v/>
      </c>
      <c r="J124" s="124">
        <f>COUNTIFS(#REF!,"Fail",#REF!,"Normal")</f>
        <v/>
      </c>
      <c r="K124" s="124">
        <f>M124-I124-J124-L124</f>
        <v/>
      </c>
      <c r="L124" s="124">
        <f>COUNTIFS(#REF!,"Rejected",#REF!,"Normal")</f>
        <v/>
      </c>
      <c r="M124" s="125">
        <f>$M$122</f>
        <v/>
      </c>
      <c r="N124" s="163">
        <f>COUNTIFS(#REF!,"Pass",#REF!,"Low")</f>
        <v/>
      </c>
      <c r="O124" s="164">
        <f>COUNTIFS(#REF!,"Fail",#REF!,"Low")</f>
        <v/>
      </c>
      <c r="P124" s="164">
        <f>R124-N124-O124-Q124</f>
        <v/>
      </c>
      <c r="Q124" s="164">
        <f>COUNTIFS(#REF!,"Rejected",#REF!,"Low")</f>
        <v/>
      </c>
      <c r="R124" s="168">
        <f>$R$122</f>
        <v/>
      </c>
      <c r="S124" s="129">
        <f>H124+M124+R124</f>
        <v/>
      </c>
      <c r="T124" s="304" t="n"/>
      <c r="U124" s="146">
        <f>#REF!</f>
        <v/>
      </c>
      <c r="V124" s="305" t="n"/>
      <c r="W124" s="291" t="n"/>
      <c r="X124" s="306" t="n"/>
    </row>
    <row r="125">
      <c r="A125" s="303" t="n"/>
      <c r="B125" s="304" t="n"/>
      <c r="C125" s="58">
        <f>C7</f>
        <v/>
      </c>
      <c r="D125" s="120">
        <f>COUNTIFS(#REF!,"Pass",#REF!,"High")</f>
        <v/>
      </c>
      <c r="E125" s="121">
        <f>COUNTIFS(#REF!,"Fail",#REF!,"High")</f>
        <v/>
      </c>
      <c r="F125" s="121">
        <f>H125-D125-E125-G125</f>
        <v/>
      </c>
      <c r="G125" s="121">
        <f>COUNTIFS(#REF!,"Rejected",#REF!,"High")</f>
        <v/>
      </c>
      <c r="H125" s="122">
        <f>$H$122</f>
        <v/>
      </c>
      <c r="I125" s="123">
        <f>COUNTIFS(#REF!,"Pass",#REF!,"Normal")</f>
        <v/>
      </c>
      <c r="J125" s="124">
        <f>COUNTIFS(#REF!,"Fail",#REF!,"Normal")</f>
        <v/>
      </c>
      <c r="K125" s="124">
        <f>M125-I125-J125-L125</f>
        <v/>
      </c>
      <c r="L125" s="124">
        <f>COUNTIFS(#REF!,"Rejected",#REF!,"Normal")</f>
        <v/>
      </c>
      <c r="M125" s="125">
        <f>$M$122</f>
        <v/>
      </c>
      <c r="N125" s="163">
        <f>COUNTIFS(#REF!,"Pass",#REF!,"Low")</f>
        <v/>
      </c>
      <c r="O125" s="164">
        <f>COUNTIFS(#REF!,"Fail",#REF!,"Low")</f>
        <v/>
      </c>
      <c r="P125" s="164">
        <f>R125-N125-O125-Q125</f>
        <v/>
      </c>
      <c r="Q125" s="164">
        <f>COUNTIFS(#REF!,"Rejected",#REF!,"Low")</f>
        <v/>
      </c>
      <c r="R125" s="168">
        <f>$R$122</f>
        <v/>
      </c>
      <c r="S125" s="129">
        <f>H125+M125+R125</f>
        <v/>
      </c>
      <c r="T125" s="304" t="n"/>
      <c r="U125" s="146">
        <f>#REF!</f>
        <v/>
      </c>
      <c r="V125" s="305" t="n"/>
      <c r="W125" s="291" t="n"/>
      <c r="X125" s="306" t="n"/>
    </row>
    <row r="126">
      <c r="A126" s="303" t="n"/>
      <c r="B126" s="304" t="n"/>
      <c r="C126" s="58">
        <f>C8</f>
        <v/>
      </c>
      <c r="D126" s="120">
        <f>COUNTIFS(#REF!,"Pass",#REF!,"High")</f>
        <v/>
      </c>
      <c r="E126" s="121">
        <f>COUNTIFS(#REF!,"Fail",#REF!,"High")</f>
        <v/>
      </c>
      <c r="F126" s="121">
        <f>H126-D126-E126-G126</f>
        <v/>
      </c>
      <c r="G126" s="121">
        <f>COUNTIFS(#REF!,"Rejected",#REF!,"High")</f>
        <v/>
      </c>
      <c r="H126" s="122">
        <f>$H$122</f>
        <v/>
      </c>
      <c r="I126" s="123">
        <f>COUNTIFS(#REF!,"Pass",#REF!,"Normal")</f>
        <v/>
      </c>
      <c r="J126" s="124">
        <f>COUNTIFS(#REF!,"Fail",#REF!,"Normal")</f>
        <v/>
      </c>
      <c r="K126" s="124">
        <f>M126-I126-J126-L126</f>
        <v/>
      </c>
      <c r="L126" s="124">
        <f>COUNTIFS(#REF!,"Rejected",#REF!,"Normal")</f>
        <v/>
      </c>
      <c r="M126" s="125">
        <f>$M$122</f>
        <v/>
      </c>
      <c r="N126" s="163">
        <f>COUNTIFS(#REF!,"Pass",#REF!,"Low")</f>
        <v/>
      </c>
      <c r="O126" s="164">
        <f>COUNTIFS(#REF!,"Fail",#REF!,"Low")</f>
        <v/>
      </c>
      <c r="P126" s="164">
        <f>R126-N126-O126-Q126</f>
        <v/>
      </c>
      <c r="Q126" s="164">
        <f>COUNTIFS(#REF!,"Rejected",#REF!,"Low")</f>
        <v/>
      </c>
      <c r="R126" s="168">
        <f>$R$122</f>
        <v/>
      </c>
      <c r="S126" s="129">
        <f>H126+M126+R126</f>
        <v/>
      </c>
      <c r="T126" s="304" t="n"/>
      <c r="U126" s="146">
        <f>#REF!</f>
        <v/>
      </c>
      <c r="V126" s="305" t="n"/>
      <c r="W126" s="291" t="n"/>
      <c r="X126" s="306" t="n"/>
    </row>
    <row r="127" ht="11" customHeight="1" thickBot="1">
      <c r="A127" s="298" t="n"/>
      <c r="B127" s="293" t="n"/>
      <c r="C127" s="132">
        <f>C9</f>
        <v/>
      </c>
      <c r="D127" s="133">
        <f>COUNTIFS(#REF!,"Pass",#REF!,"High")</f>
        <v/>
      </c>
      <c r="E127" s="134">
        <f>COUNTIFS(#REF!,"Fail",#REF!,"High")</f>
        <v/>
      </c>
      <c r="F127" s="134">
        <f>H127-D127-E127-G127</f>
        <v/>
      </c>
      <c r="G127" s="134">
        <f>COUNTIFS(#REF!,"Rejected",#REF!,"High")</f>
        <v/>
      </c>
      <c r="H127" s="122">
        <f>$H$122</f>
        <v/>
      </c>
      <c r="I127" s="136">
        <f>COUNTIFS(#REF!,"Pass",#REF!,"Normal")</f>
        <v/>
      </c>
      <c r="J127" s="137">
        <f>COUNTIFS(#REF!,"Fail",#REF!,"Normal")</f>
        <v/>
      </c>
      <c r="K127" s="137">
        <f>M127-I127-J127-L127</f>
        <v/>
      </c>
      <c r="L127" s="137">
        <f>COUNTIFS(#REF!,"Rejected",#REF!,"Normal")</f>
        <v/>
      </c>
      <c r="M127" s="125">
        <f>$M$122</f>
        <v/>
      </c>
      <c r="N127" s="166">
        <f>COUNTIFS(#REF!,"Pass",#REF!,"Low")</f>
        <v/>
      </c>
      <c r="O127" s="167">
        <f>COUNTIFS(#REF!,"Fail",#REF!,"Low")</f>
        <v/>
      </c>
      <c r="P127" s="167">
        <f>R127-N127-O127-Q127</f>
        <v/>
      </c>
      <c r="Q127" s="167">
        <f>COUNTIFS(#REF!,"Rejected",#REF!,"Low")</f>
        <v/>
      </c>
      <c r="R127" s="168">
        <f>$R$122</f>
        <v/>
      </c>
      <c r="S127" s="140">
        <f>H127+M127+R127</f>
        <v/>
      </c>
      <c r="T127" s="313" t="n"/>
      <c r="U127" s="147">
        <f>#REF!</f>
        <v/>
      </c>
      <c r="V127" s="307" t="n"/>
      <c r="W127" s="294" t="n"/>
      <c r="X127" s="308" t="n"/>
    </row>
    <row r="128">
      <c r="A128" s="192" t="n">
        <v>6</v>
      </c>
      <c r="B128" s="195">
        <f>B80</f>
        <v/>
      </c>
      <c r="C128" s="108">
        <f>C4</f>
        <v/>
      </c>
      <c r="D128" s="109">
        <f>COUNTIFS(#REF!,"Pass",#REF!,"High")</f>
        <v/>
      </c>
      <c r="E128" s="110">
        <f>COUNTIFS(#REF!,"Fail",#REF!,"High")</f>
        <v/>
      </c>
      <c r="F128" s="110">
        <f>H128-D128-E128-G128</f>
        <v/>
      </c>
      <c r="G128" s="110">
        <f>COUNTIFS(#REF!,"Rejected",#REF!,"High")</f>
        <v/>
      </c>
      <c r="H128" s="111">
        <f>#REF!</f>
        <v/>
      </c>
      <c r="I128" s="112">
        <f>COUNTIFS(#REF!,"Pass",#REF!,"Normal")</f>
        <v/>
      </c>
      <c r="J128" s="113">
        <f>COUNTIFS(#REF!,"Fail",#REF!,"Normal")</f>
        <v/>
      </c>
      <c r="K128" s="113">
        <f>M128-I128-J128-L128</f>
        <v/>
      </c>
      <c r="L128" s="113">
        <f>COUNTIFS(#REF!,"Rejected",#REF!,"Normal")</f>
        <v/>
      </c>
      <c r="M128" s="114">
        <f>#REF!</f>
        <v/>
      </c>
      <c r="N128" s="160">
        <f>COUNTIFS(#REF!,"Pass",#REF!,"Low")</f>
        <v/>
      </c>
      <c r="O128" s="161">
        <f>COUNTIFS(#REF!,"Fail",#REF!,"Low")</f>
        <v/>
      </c>
      <c r="P128" s="161">
        <f>R128-N128-O128-Q128</f>
        <v/>
      </c>
      <c r="Q128" s="161">
        <f>COUNTIFS(#REF!,"Rejected",#REF!,"Low")</f>
        <v/>
      </c>
      <c r="R128" s="162">
        <f>#REF!</f>
        <v/>
      </c>
      <c r="S128" s="118">
        <f>H128+M128+R128</f>
        <v/>
      </c>
      <c r="T128" s="314">
        <f>#REF!</f>
        <v/>
      </c>
      <c r="U128" s="145">
        <f>#REF!</f>
        <v/>
      </c>
      <c r="V128" s="301" t="n"/>
      <c r="W128" s="289" t="n"/>
      <c r="X128" s="302" t="n"/>
    </row>
    <row r="129">
      <c r="A129" s="303" t="n"/>
      <c r="B129" s="304" t="n"/>
      <c r="C129" s="58">
        <f>C5</f>
        <v/>
      </c>
      <c r="D129" s="120">
        <f>COUNTIFS(#REF!,"Pass",#REF!,"High")</f>
        <v/>
      </c>
      <c r="E129" s="121">
        <f>COUNTIFS(#REF!,"Fail",#REF!,"High")</f>
        <v/>
      </c>
      <c r="F129" s="121">
        <f>H129-D129-E129-G129</f>
        <v/>
      </c>
      <c r="G129" s="121">
        <f>COUNTIFS(#REF!,"Rejected",#REF!,"High")</f>
        <v/>
      </c>
      <c r="H129" s="122">
        <f>$H$128</f>
        <v/>
      </c>
      <c r="I129" s="123">
        <f>COUNTIFS(#REF!,"Pass",#REF!,"Normal")</f>
        <v/>
      </c>
      <c r="J129" s="124">
        <f>COUNTIFS(#REF!,"Fail",#REF!,"Normal")</f>
        <v/>
      </c>
      <c r="K129" s="124">
        <f>M129-I129-J129-L129</f>
        <v/>
      </c>
      <c r="L129" s="124">
        <f>COUNTIFS(#REF!,"Rejected",#REF!,"Normal")</f>
        <v/>
      </c>
      <c r="M129" s="125">
        <f>$M$128</f>
        <v/>
      </c>
      <c r="N129" s="163">
        <f>COUNTIFS(#REF!,"Pass",#REF!,"Low")</f>
        <v/>
      </c>
      <c r="O129" s="164">
        <f>COUNTIFS(#REF!,"Fail",#REF!,"Low")</f>
        <v/>
      </c>
      <c r="P129" s="164">
        <f>R129-N129-O129-Q129</f>
        <v/>
      </c>
      <c r="Q129" s="164">
        <f>COUNTIFS(#REF!,"Rejected",#REF!,"Low")</f>
        <v/>
      </c>
      <c r="R129" s="168">
        <f>$R$128</f>
        <v/>
      </c>
      <c r="S129" s="129">
        <f>H129+M129+R129</f>
        <v/>
      </c>
      <c r="T129" s="304" t="n"/>
      <c r="U129" s="146">
        <f>#REF!</f>
        <v/>
      </c>
      <c r="V129" s="305" t="n"/>
      <c r="W129" s="291" t="n"/>
      <c r="X129" s="306" t="n"/>
    </row>
    <row r="130">
      <c r="A130" s="303" t="n"/>
      <c r="B130" s="304" t="n"/>
      <c r="C130" s="58">
        <f>C6</f>
        <v/>
      </c>
      <c r="D130" s="120">
        <f>COUNTIFS(#REF!,"Pass",#REF!,"High")</f>
        <v/>
      </c>
      <c r="E130" s="121">
        <f>COUNTIFS(#REF!,"Fail",#REF!,"High")</f>
        <v/>
      </c>
      <c r="F130" s="121">
        <f>H130-D130-E130-G130</f>
        <v/>
      </c>
      <c r="G130" s="121">
        <f>COUNTIFS(#REF!,"Rejected",#REF!,"High")</f>
        <v/>
      </c>
      <c r="H130" s="122">
        <f>$H$128</f>
        <v/>
      </c>
      <c r="I130" s="123">
        <f>COUNTIFS(#REF!,"Pass",#REF!,"Normal")</f>
        <v/>
      </c>
      <c r="J130" s="124">
        <f>COUNTIFS(#REF!,"Fail",#REF!,"Normal")</f>
        <v/>
      </c>
      <c r="K130" s="124">
        <f>M130-I130-J130-L130</f>
        <v/>
      </c>
      <c r="L130" s="124">
        <f>COUNTIFS(#REF!,"Rejected",#REF!,"Normal")</f>
        <v/>
      </c>
      <c r="M130" s="125">
        <f>$M$128</f>
        <v/>
      </c>
      <c r="N130" s="163">
        <f>COUNTIFS(#REF!,"Pass",#REF!,"Low")</f>
        <v/>
      </c>
      <c r="O130" s="164">
        <f>COUNTIFS(#REF!,"Fail",#REF!,"Low")</f>
        <v/>
      </c>
      <c r="P130" s="164">
        <f>R130-N130-O130-Q130</f>
        <v/>
      </c>
      <c r="Q130" s="164">
        <f>COUNTIFS(#REF!,"Rejected",#REF!,"Low")</f>
        <v/>
      </c>
      <c r="R130" s="168">
        <f>$R$128</f>
        <v/>
      </c>
      <c r="S130" s="129">
        <f>H130+M130+R130</f>
        <v/>
      </c>
      <c r="T130" s="304" t="n"/>
      <c r="U130" s="146">
        <f>#REF!</f>
        <v/>
      </c>
      <c r="V130" s="305" t="n"/>
      <c r="W130" s="291" t="n"/>
      <c r="X130" s="306" t="n"/>
    </row>
    <row r="131">
      <c r="A131" s="303" t="n"/>
      <c r="B131" s="304" t="n"/>
      <c r="C131" s="58">
        <f>C7</f>
        <v/>
      </c>
      <c r="D131" s="120">
        <f>COUNTIFS(#REF!,"Pass",#REF!,"High")</f>
        <v/>
      </c>
      <c r="E131" s="121">
        <f>COUNTIFS(#REF!,"Fail",#REF!,"High")</f>
        <v/>
      </c>
      <c r="F131" s="121">
        <f>H131-D131-E131-G131</f>
        <v/>
      </c>
      <c r="G131" s="121">
        <f>COUNTIFS(#REF!,"Rejected",#REF!,"High")</f>
        <v/>
      </c>
      <c r="H131" s="122">
        <f>$H$128</f>
        <v/>
      </c>
      <c r="I131" s="123">
        <f>COUNTIFS(#REF!,"Pass",#REF!,"Normal")</f>
        <v/>
      </c>
      <c r="J131" s="124">
        <f>COUNTIFS(#REF!,"Fail",#REF!,"Normal")</f>
        <v/>
      </c>
      <c r="K131" s="124">
        <f>M131-I131-J131-L131</f>
        <v/>
      </c>
      <c r="L131" s="124">
        <f>COUNTIFS(#REF!,"Rejected",#REF!,"Normal")</f>
        <v/>
      </c>
      <c r="M131" s="125">
        <f>$M$128</f>
        <v/>
      </c>
      <c r="N131" s="163">
        <f>COUNTIFS(#REF!,"Pass",#REF!,"Low")</f>
        <v/>
      </c>
      <c r="O131" s="164">
        <f>COUNTIFS(#REF!,"Fail",#REF!,"Low")</f>
        <v/>
      </c>
      <c r="P131" s="164">
        <f>R131-N131-O131-Q131</f>
        <v/>
      </c>
      <c r="Q131" s="164">
        <f>COUNTIFS(#REF!,"Rejected",#REF!,"Low")</f>
        <v/>
      </c>
      <c r="R131" s="168">
        <f>$R$128</f>
        <v/>
      </c>
      <c r="S131" s="129">
        <f>H131+M131+R131</f>
        <v/>
      </c>
      <c r="T131" s="304" t="n"/>
      <c r="U131" s="146">
        <f>#REF!</f>
        <v/>
      </c>
      <c r="V131" s="305" t="n"/>
      <c r="W131" s="291" t="n"/>
      <c r="X131" s="306" t="n"/>
    </row>
    <row r="132">
      <c r="A132" s="303" t="n"/>
      <c r="B132" s="304" t="n"/>
      <c r="C132" s="58">
        <f>C8</f>
        <v/>
      </c>
      <c r="D132" s="120">
        <f>COUNTIFS(#REF!,"Pass",#REF!,"High")</f>
        <v/>
      </c>
      <c r="E132" s="121">
        <f>COUNTIFS(#REF!,"Fail",#REF!,"High")</f>
        <v/>
      </c>
      <c r="F132" s="121">
        <f>H132-D132-E132-G132</f>
        <v/>
      </c>
      <c r="G132" s="121">
        <f>COUNTIFS(#REF!,"Rejected",#REF!,"High")</f>
        <v/>
      </c>
      <c r="H132" s="122">
        <f>$H$128</f>
        <v/>
      </c>
      <c r="I132" s="123">
        <f>COUNTIFS(#REF!,"Pass",#REF!,"Normal")</f>
        <v/>
      </c>
      <c r="J132" s="124">
        <f>COUNTIFS(#REF!,"Fail",#REF!,"Normal")</f>
        <v/>
      </c>
      <c r="K132" s="124">
        <f>M132-I132-J132-L132</f>
        <v/>
      </c>
      <c r="L132" s="124">
        <f>COUNTIFS(#REF!,"Rejected",#REF!,"Normal")</f>
        <v/>
      </c>
      <c r="M132" s="125">
        <f>$M$128</f>
        <v/>
      </c>
      <c r="N132" s="163">
        <f>COUNTIFS(#REF!,"Pass",#REF!,"Low")</f>
        <v/>
      </c>
      <c r="O132" s="164">
        <f>COUNTIFS(#REF!,"Fail",#REF!,"Low")</f>
        <v/>
      </c>
      <c r="P132" s="164">
        <f>R132-N132-O132-Q132</f>
        <v/>
      </c>
      <c r="Q132" s="164">
        <f>COUNTIFS(#REF!,"Rejected",#REF!,"Low")</f>
        <v/>
      </c>
      <c r="R132" s="168">
        <f>$R$128</f>
        <v/>
      </c>
      <c r="S132" s="129">
        <f>H132+M132+R132</f>
        <v/>
      </c>
      <c r="T132" s="304" t="n"/>
      <c r="U132" s="146">
        <f>#REF!</f>
        <v/>
      </c>
      <c r="V132" s="305" t="n"/>
      <c r="W132" s="291" t="n"/>
      <c r="X132" s="306" t="n"/>
    </row>
    <row r="133" ht="11" customHeight="1" thickBot="1">
      <c r="A133" s="298" t="n"/>
      <c r="B133" s="293" t="n"/>
      <c r="C133" s="132">
        <f>C9</f>
        <v/>
      </c>
      <c r="D133" s="133">
        <f>COUNTIFS(#REF!,"Pass",#REF!,"High")</f>
        <v/>
      </c>
      <c r="E133" s="134">
        <f>COUNTIFS(#REF!,"Fail",#REF!,"High")</f>
        <v/>
      </c>
      <c r="F133" s="134">
        <f>H133-D133-E133-G133</f>
        <v/>
      </c>
      <c r="G133" s="134">
        <f>COUNTIFS(#REF!,"Rejected",#REF!,"High")</f>
        <v/>
      </c>
      <c r="H133" s="122">
        <f>$H$128</f>
        <v/>
      </c>
      <c r="I133" s="136">
        <f>COUNTIFS(#REF!,"Pass",#REF!,"Normal")</f>
        <v/>
      </c>
      <c r="J133" s="137">
        <f>COUNTIFS(#REF!,"Fail",#REF!,"Normal")</f>
        <v/>
      </c>
      <c r="K133" s="137">
        <f>M133-I133-J133-L133</f>
        <v/>
      </c>
      <c r="L133" s="137">
        <f>COUNTIFS(#REF!,"Rejected",#REF!,"Normal")</f>
        <v/>
      </c>
      <c r="M133" s="125">
        <f>$M$128</f>
        <v/>
      </c>
      <c r="N133" s="166">
        <f>COUNTIFS(#REF!,"Pass",#REF!,"Low")</f>
        <v/>
      </c>
      <c r="O133" s="167">
        <f>COUNTIFS(#REF!,"Fail",#REF!,"Low")</f>
        <v/>
      </c>
      <c r="P133" s="167">
        <f>R133-N133-O133-Q133</f>
        <v/>
      </c>
      <c r="Q133" s="167">
        <f>COUNTIFS(#REF!,"Rejected",#REF!,"Low")</f>
        <v/>
      </c>
      <c r="R133" s="168">
        <f>$R$128</f>
        <v/>
      </c>
      <c r="S133" s="140">
        <f>H133+M133+R133</f>
        <v/>
      </c>
      <c r="T133" s="313" t="n"/>
      <c r="U133" s="147">
        <f>#REF!</f>
        <v/>
      </c>
      <c r="V133" s="307" t="n"/>
      <c r="W133" s="294" t="n"/>
      <c r="X133" s="308" t="n"/>
    </row>
    <row r="134">
      <c r="A134" s="192" t="n">
        <v>7</v>
      </c>
      <c r="B134" s="195">
        <f>B86</f>
        <v/>
      </c>
      <c r="C134" s="108">
        <f>C4</f>
        <v/>
      </c>
      <c r="D134" s="109">
        <f>COUNTIFS(#REF!,"Pass",#REF!,"High")</f>
        <v/>
      </c>
      <c r="E134" s="110">
        <f>COUNTIFS(#REF!,"Fail",#REF!,"High")</f>
        <v/>
      </c>
      <c r="F134" s="110">
        <f>H134-D134-E134-G134</f>
        <v/>
      </c>
      <c r="G134" s="110">
        <f>COUNTIFS(#REF!,"Rejected",#REF!,"High")</f>
        <v/>
      </c>
      <c r="H134" s="111">
        <f>#REF!</f>
        <v/>
      </c>
      <c r="I134" s="112">
        <f>COUNTIFS(#REF!,"Pass",#REF!,"Normal")</f>
        <v/>
      </c>
      <c r="J134" s="113">
        <f>COUNTIFS(#REF!,"Fail",#REF!,"Normal")</f>
        <v/>
      </c>
      <c r="K134" s="113">
        <f>M134-I134-J134-L134</f>
        <v/>
      </c>
      <c r="L134" s="113">
        <f>COUNTIFS(#REF!,"Rejected",#REF!,"Normal")</f>
        <v/>
      </c>
      <c r="M134" s="114">
        <f>#REF!</f>
        <v/>
      </c>
      <c r="N134" s="160">
        <f>COUNTIFS(#REF!,"Pass",#REF!,"Low")</f>
        <v/>
      </c>
      <c r="O134" s="161">
        <f>COUNTIFS(#REF!,"Fail",#REF!,"Low")</f>
        <v/>
      </c>
      <c r="P134" s="161">
        <f>R134-N134-O134-Q134</f>
        <v/>
      </c>
      <c r="Q134" s="161">
        <f>COUNTIFS(#REF!,"Rejected",#REF!,"Low")</f>
        <v/>
      </c>
      <c r="R134" s="162">
        <f>#REF!</f>
        <v/>
      </c>
      <c r="S134" s="118">
        <f>H134+M134+R134</f>
        <v/>
      </c>
      <c r="T134" s="314">
        <f>#REF!</f>
        <v/>
      </c>
      <c r="U134" s="145">
        <f>#REF!</f>
        <v/>
      </c>
      <c r="V134" s="301" t="n"/>
      <c r="W134" s="289" t="n"/>
      <c r="X134" s="302" t="n"/>
    </row>
    <row r="135">
      <c r="A135" s="303" t="n"/>
      <c r="B135" s="304" t="n"/>
      <c r="C135" s="58">
        <f>C5</f>
        <v/>
      </c>
      <c r="D135" s="120">
        <f>COUNTIFS(#REF!,"Pass",#REF!,"High")</f>
        <v/>
      </c>
      <c r="E135" s="121">
        <f>COUNTIFS(#REF!,"Fail",#REF!,"High")</f>
        <v/>
      </c>
      <c r="F135" s="121">
        <f>H135-D135-E135-G135</f>
        <v/>
      </c>
      <c r="G135" s="121">
        <f>COUNTIFS(#REF!,"Rejected",#REF!,"High")</f>
        <v/>
      </c>
      <c r="H135" s="122">
        <f>$H$134</f>
        <v/>
      </c>
      <c r="I135" s="123">
        <f>COUNTIFS(#REF!,"Pass",#REF!,"Normal")</f>
        <v/>
      </c>
      <c r="J135" s="124">
        <f>COUNTIFS(#REF!,"Fail",#REF!,"Normal")</f>
        <v/>
      </c>
      <c r="K135" s="124">
        <f>M135-I135-J135-L135</f>
        <v/>
      </c>
      <c r="L135" s="124">
        <f>COUNTIFS(#REF!,"Rejected",#REF!,"Normal")</f>
        <v/>
      </c>
      <c r="M135" s="125">
        <f>$M$134</f>
        <v/>
      </c>
      <c r="N135" s="163">
        <f>COUNTIFS(#REF!,"Pass",#REF!,"Low")</f>
        <v/>
      </c>
      <c r="O135" s="164">
        <f>COUNTIFS(#REF!,"Fail",#REF!,"Low")</f>
        <v/>
      </c>
      <c r="P135" s="164">
        <f>R135-N135-O135-Q135</f>
        <v/>
      </c>
      <c r="Q135" s="164">
        <f>COUNTIFS(#REF!,"Rejected",#REF!,"Low")</f>
        <v/>
      </c>
      <c r="R135" s="168">
        <f>$R$134</f>
        <v/>
      </c>
      <c r="S135" s="129">
        <f>H135+M135+R135</f>
        <v/>
      </c>
      <c r="T135" s="304" t="n"/>
      <c r="U135" s="146">
        <f>#REF!</f>
        <v/>
      </c>
      <c r="V135" s="305" t="n"/>
      <c r="W135" s="291" t="n"/>
      <c r="X135" s="306" t="n"/>
    </row>
    <row r="136">
      <c r="A136" s="303" t="n"/>
      <c r="B136" s="304" t="n"/>
      <c r="C136" s="58">
        <f>C6</f>
        <v/>
      </c>
      <c r="D136" s="120">
        <f>COUNTIFS(#REF!,"Pass",#REF!,"High")</f>
        <v/>
      </c>
      <c r="E136" s="121">
        <f>COUNTIFS(#REF!,"Fail",#REF!,"High")</f>
        <v/>
      </c>
      <c r="F136" s="121">
        <f>H136-D136-E136-G136</f>
        <v/>
      </c>
      <c r="G136" s="121">
        <f>COUNTIFS(#REF!,"Rejected",#REF!,"High")</f>
        <v/>
      </c>
      <c r="H136" s="122">
        <f>$H$134</f>
        <v/>
      </c>
      <c r="I136" s="123">
        <f>COUNTIFS(#REF!,"Pass",#REF!,"Normal")</f>
        <v/>
      </c>
      <c r="J136" s="124">
        <f>COUNTIFS(#REF!,"Fail",#REF!,"Normal")</f>
        <v/>
      </c>
      <c r="K136" s="124">
        <f>M136-I136-J136-L136</f>
        <v/>
      </c>
      <c r="L136" s="124">
        <f>COUNTIFS(#REF!,"Rejected",#REF!,"Normal")</f>
        <v/>
      </c>
      <c r="M136" s="125">
        <f>$M$134</f>
        <v/>
      </c>
      <c r="N136" s="163">
        <f>COUNTIFS(#REF!,"Pass",#REF!,"Low")</f>
        <v/>
      </c>
      <c r="O136" s="164">
        <f>COUNTIFS(#REF!,"Fail",#REF!,"Low")</f>
        <v/>
      </c>
      <c r="P136" s="164">
        <f>R136-N136-O136-Q136</f>
        <v/>
      </c>
      <c r="Q136" s="164">
        <f>COUNTIFS(#REF!,"Rejected",#REF!,"Low")</f>
        <v/>
      </c>
      <c r="R136" s="168">
        <f>$R$134</f>
        <v/>
      </c>
      <c r="S136" s="129">
        <f>H136+M136+R136</f>
        <v/>
      </c>
      <c r="T136" s="304" t="n"/>
      <c r="U136" s="146">
        <f>#REF!</f>
        <v/>
      </c>
      <c r="V136" s="305" t="n"/>
      <c r="W136" s="291" t="n"/>
      <c r="X136" s="306" t="n"/>
    </row>
    <row r="137">
      <c r="A137" s="303" t="n"/>
      <c r="B137" s="304" t="n"/>
      <c r="C137" s="58">
        <f>C7</f>
        <v/>
      </c>
      <c r="D137" s="120">
        <f>COUNTIFS(#REF!,"Pass",#REF!,"High")</f>
        <v/>
      </c>
      <c r="E137" s="121">
        <f>COUNTIFS(#REF!,"Fail",#REF!,"High")</f>
        <v/>
      </c>
      <c r="F137" s="121">
        <f>H137-D137-E137-G137</f>
        <v/>
      </c>
      <c r="G137" s="121">
        <f>COUNTIFS(#REF!,"Rejected",#REF!,"High")</f>
        <v/>
      </c>
      <c r="H137" s="122">
        <f>$H$134</f>
        <v/>
      </c>
      <c r="I137" s="123">
        <f>COUNTIFS(#REF!,"Pass",#REF!,"Normal")</f>
        <v/>
      </c>
      <c r="J137" s="124">
        <f>COUNTIFS(#REF!,"Fail",#REF!,"Normal")</f>
        <v/>
      </c>
      <c r="K137" s="124">
        <f>M137-I137-J137-L137</f>
        <v/>
      </c>
      <c r="L137" s="124">
        <f>COUNTIFS(#REF!,"Rejected",#REF!,"Normal")</f>
        <v/>
      </c>
      <c r="M137" s="125">
        <f>$M$134</f>
        <v/>
      </c>
      <c r="N137" s="163">
        <f>COUNTIFS(#REF!,"Pass",#REF!,"Low")</f>
        <v/>
      </c>
      <c r="O137" s="164">
        <f>COUNTIFS(#REF!,"Fail",#REF!,"Low")</f>
        <v/>
      </c>
      <c r="P137" s="164">
        <f>R137-N137-O137-Q137</f>
        <v/>
      </c>
      <c r="Q137" s="164">
        <f>COUNTIFS(#REF!,"Rejected",#REF!,"Low")</f>
        <v/>
      </c>
      <c r="R137" s="168">
        <f>$R$134</f>
        <v/>
      </c>
      <c r="S137" s="129">
        <f>H137+M137+R137</f>
        <v/>
      </c>
      <c r="T137" s="304" t="n"/>
      <c r="U137" s="146">
        <f>#REF!</f>
        <v/>
      </c>
      <c r="V137" s="305" t="n"/>
      <c r="W137" s="291" t="n"/>
      <c r="X137" s="306" t="n"/>
    </row>
    <row r="138">
      <c r="A138" s="303" t="n"/>
      <c r="B138" s="304" t="n"/>
      <c r="C138" s="58">
        <f>C8</f>
        <v/>
      </c>
      <c r="D138" s="120">
        <f>COUNTIFS(#REF!,"Pass",#REF!,"High")</f>
        <v/>
      </c>
      <c r="E138" s="121">
        <f>COUNTIFS(#REF!,"Fail",#REF!,"High")</f>
        <v/>
      </c>
      <c r="F138" s="121">
        <f>H138-D138-E138-G138</f>
        <v/>
      </c>
      <c r="G138" s="121">
        <f>COUNTIFS(#REF!,"Rejected",#REF!,"High")</f>
        <v/>
      </c>
      <c r="H138" s="122">
        <f>$H$134</f>
        <v/>
      </c>
      <c r="I138" s="123">
        <f>COUNTIFS(#REF!,"Pass",#REF!,"Normal")</f>
        <v/>
      </c>
      <c r="J138" s="124">
        <f>COUNTIFS(#REF!,"Fail",#REF!,"Normal")</f>
        <v/>
      </c>
      <c r="K138" s="124">
        <f>M138-I138-J138-L138</f>
        <v/>
      </c>
      <c r="L138" s="124">
        <f>COUNTIFS(#REF!,"Rejected",#REF!,"Normal")</f>
        <v/>
      </c>
      <c r="M138" s="125">
        <f>$M$134</f>
        <v/>
      </c>
      <c r="N138" s="163">
        <f>COUNTIFS(#REF!,"Pass",#REF!,"Low")</f>
        <v/>
      </c>
      <c r="O138" s="164">
        <f>COUNTIFS(#REF!,"Fail",#REF!,"Low")</f>
        <v/>
      </c>
      <c r="P138" s="164">
        <f>R138-N138-O138-Q138</f>
        <v/>
      </c>
      <c r="Q138" s="164">
        <f>COUNTIFS(#REF!,"Rejected",#REF!,"Low")</f>
        <v/>
      </c>
      <c r="R138" s="168">
        <f>$R$134</f>
        <v/>
      </c>
      <c r="S138" s="129">
        <f>H138+M138+R138</f>
        <v/>
      </c>
      <c r="T138" s="304" t="n"/>
      <c r="U138" s="146">
        <f>#REF!</f>
        <v/>
      </c>
      <c r="V138" s="305" t="n"/>
      <c r="W138" s="291" t="n"/>
      <c r="X138" s="306" t="n"/>
    </row>
    <row r="139" ht="11" customHeight="1" thickBot="1">
      <c r="A139" s="298" t="n"/>
      <c r="B139" s="293" t="n"/>
      <c r="C139" s="132">
        <f>C9</f>
        <v/>
      </c>
      <c r="D139" s="133">
        <f>COUNTIFS(#REF!,"Pass",#REF!,"High")</f>
        <v/>
      </c>
      <c r="E139" s="134">
        <f>COUNTIFS(#REF!,"Fail",#REF!,"High")</f>
        <v/>
      </c>
      <c r="F139" s="134">
        <f>H139-D139-E139-G139</f>
        <v/>
      </c>
      <c r="G139" s="134">
        <f>COUNTIFS(#REF!,"Rejected",#REF!,"High")</f>
        <v/>
      </c>
      <c r="H139" s="122">
        <f>$H$134</f>
        <v/>
      </c>
      <c r="I139" s="136">
        <f>COUNTIFS(#REF!,"Pass",#REF!,"Normal")</f>
        <v/>
      </c>
      <c r="J139" s="137">
        <f>COUNTIFS(#REF!,"Fail",#REF!,"Normal")</f>
        <v/>
      </c>
      <c r="K139" s="137">
        <f>M139-I139-J139-L139</f>
        <v/>
      </c>
      <c r="L139" s="137">
        <f>COUNTIFS(#REF!,"Rejected",#REF!,"Normal")</f>
        <v/>
      </c>
      <c r="M139" s="125">
        <f>$M$134</f>
        <v/>
      </c>
      <c r="N139" s="166">
        <f>COUNTIFS(#REF!,"Pass",#REF!,"Low")</f>
        <v/>
      </c>
      <c r="O139" s="167">
        <f>COUNTIFS(#REF!,"Fail",#REF!,"Low")</f>
        <v/>
      </c>
      <c r="P139" s="167">
        <f>R139-N139-O139-Q139</f>
        <v/>
      </c>
      <c r="Q139" s="167">
        <f>COUNTIFS(#REF!,"Rejected",#REF!,"Low")</f>
        <v/>
      </c>
      <c r="R139" s="168">
        <f>$R$134</f>
        <v/>
      </c>
      <c r="S139" s="140">
        <f>H139+M139+R139</f>
        <v/>
      </c>
      <c r="T139" s="313" t="n"/>
      <c r="U139" s="147">
        <f>#REF!</f>
        <v/>
      </c>
      <c r="V139" s="307" t="n"/>
      <c r="W139" s="294" t="n"/>
      <c r="X139" s="308" t="n"/>
    </row>
    <row r="140" ht="11" customHeight="1" thickBot="1">
      <c r="A140" s="148" t="n"/>
      <c r="B140" s="149" t="inlineStr">
        <is>
          <t>…</t>
        </is>
      </c>
      <c r="C140" s="150" t="inlineStr">
        <is>
          <t>…</t>
        </is>
      </c>
      <c r="D140" s="148" t="inlineStr">
        <is>
          <t>..</t>
        </is>
      </c>
      <c r="E140" s="149" t="inlineStr">
        <is>
          <t>..</t>
        </is>
      </c>
      <c r="F140" s="149" t="inlineStr">
        <is>
          <t>..</t>
        </is>
      </c>
      <c r="G140" s="149" t="n"/>
      <c r="H140" s="169" t="n"/>
      <c r="I140" s="148" t="n"/>
      <c r="J140" s="149" t="n"/>
      <c r="K140" s="149" t="n"/>
      <c r="L140" s="149" t="n"/>
      <c r="M140" s="169" t="n"/>
      <c r="N140" s="148" t="n"/>
      <c r="O140" s="149" t="n"/>
      <c r="P140" s="149" t="n"/>
      <c r="Q140" s="149" t="n"/>
      <c r="R140" s="169" t="n"/>
      <c r="S140" s="154" t="n"/>
      <c r="T140" s="155" t="n"/>
      <c r="U140" s="156" t="n"/>
      <c r="V140" s="150" t="n"/>
      <c r="W140" s="157" t="n"/>
      <c r="X140" s="158" t="n"/>
    </row>
    <row r="141">
      <c r="A141" s="49" t="n"/>
      <c r="B141" s="49" t="n"/>
      <c r="C141" s="49" t="n"/>
      <c r="D141" s="49" t="n"/>
      <c r="E141" s="49" t="n"/>
      <c r="F141" s="49" t="n"/>
      <c r="G141" s="49" t="n"/>
      <c r="H141" s="50" t="n"/>
      <c r="I141" s="49" t="n"/>
      <c r="J141" s="49" t="n"/>
      <c r="K141" s="49" t="n"/>
      <c r="L141" s="49" t="n"/>
      <c r="M141" s="50" t="n"/>
      <c r="N141" s="49" t="n"/>
      <c r="O141" s="49" t="n"/>
      <c r="P141" s="49" t="n"/>
      <c r="Q141" s="49" t="n"/>
      <c r="R141" s="50" t="n"/>
      <c r="S141" s="159" t="n"/>
      <c r="T141" s="51" t="n"/>
      <c r="U141" s="49" t="n"/>
      <c r="V141" s="49" t="n"/>
      <c r="W141" s="49" t="n"/>
      <c r="X141" s="49" t="n"/>
    </row>
    <row r="142">
      <c r="A142" s="49" t="n"/>
      <c r="B142" s="49" t="n"/>
      <c r="C142" s="49" t="n"/>
      <c r="D142" s="49" t="n"/>
      <c r="E142" s="49" t="n"/>
      <c r="F142" s="49" t="n"/>
      <c r="G142" s="49" t="n"/>
      <c r="H142" s="50" t="n"/>
      <c r="I142" s="49" t="n"/>
      <c r="J142" s="49" t="n"/>
      <c r="K142" s="49" t="n"/>
      <c r="L142" s="49" t="n"/>
      <c r="M142" s="50" t="n"/>
      <c r="N142" s="49" t="n"/>
      <c r="O142" s="49" t="n"/>
      <c r="P142" s="49" t="n"/>
      <c r="Q142" s="49" t="n"/>
      <c r="R142" s="50" t="n"/>
      <c r="S142" s="159" t="n"/>
      <c r="T142" s="51" t="n"/>
      <c r="U142" s="49" t="n"/>
      <c r="V142" s="49" t="n"/>
      <c r="W142" s="49" t="n"/>
      <c r="X142" s="49" t="n"/>
    </row>
    <row r="143" ht="15" customHeight="1" thickBot="1">
      <c r="A143" s="221" t="inlineStr">
        <is>
          <t>Round 3 in detail</t>
        </is>
      </c>
      <c r="C143" s="49" t="n"/>
      <c r="D143" s="49" t="n"/>
      <c r="E143" s="49" t="n"/>
      <c r="F143" s="49" t="n"/>
      <c r="G143" s="49" t="n"/>
      <c r="H143" s="50" t="n"/>
      <c r="I143" s="49" t="n"/>
      <c r="J143" s="49" t="n"/>
      <c r="K143" s="49" t="n"/>
      <c r="L143" s="49" t="n"/>
      <c r="M143" s="50" t="n"/>
      <c r="N143" s="49" t="n"/>
      <c r="O143" s="49" t="n"/>
      <c r="P143" s="49" t="n"/>
      <c r="Q143" s="49" t="n"/>
      <c r="R143" s="50" t="n"/>
      <c r="S143" s="159" t="n"/>
      <c r="T143" s="51" t="n"/>
      <c r="U143" s="49" t="n"/>
      <c r="V143" s="49" t="n"/>
      <c r="W143" s="49" t="n"/>
      <c r="X143" s="49" t="n"/>
    </row>
    <row r="144" ht="15.75" customHeight="1" thickBot="1">
      <c r="C144" s="49" t="n"/>
      <c r="D144" s="222" t="inlineStr">
        <is>
          <t>High</t>
        </is>
      </c>
      <c r="E144" s="289" t="n"/>
      <c r="F144" s="289" t="n"/>
      <c r="G144" s="289" t="n"/>
      <c r="H144" s="290" t="n"/>
      <c r="I144" s="222" t="inlineStr">
        <is>
          <t>Normal</t>
        </is>
      </c>
      <c r="J144" s="289" t="n"/>
      <c r="K144" s="289" t="n"/>
      <c r="L144" s="289" t="n"/>
      <c r="M144" s="290" t="n"/>
      <c r="N144" s="222" t="inlineStr">
        <is>
          <t>Low</t>
        </is>
      </c>
      <c r="O144" s="289" t="n"/>
      <c r="P144" s="289" t="n"/>
      <c r="Q144" s="289" t="n"/>
      <c r="R144" s="290" t="n"/>
      <c r="S144" s="225" t="inlineStr">
        <is>
          <t>Total TC</t>
        </is>
      </c>
      <c r="T144" s="201" t="inlineStr">
        <is>
          <t>Creator</t>
        </is>
      </c>
      <c r="U144" s="201" t="inlineStr">
        <is>
          <t>Tester</t>
        </is>
      </c>
      <c r="V144" s="297" t="inlineStr">
        <is>
          <t>Note</t>
        </is>
      </c>
      <c r="W144" s="281" t="n"/>
      <c r="X144" s="282" t="n"/>
    </row>
    <row r="145" ht="11" customHeight="1" thickBot="1">
      <c r="A145" s="104" t="inlineStr">
        <is>
          <t>No</t>
        </is>
      </c>
      <c r="B145" s="105" t="inlineStr">
        <is>
          <t>Module/Function</t>
        </is>
      </c>
      <c r="C145" s="106" t="inlineStr">
        <is>
          <t>Environment</t>
        </is>
      </c>
      <c r="D145" s="202" t="inlineStr">
        <is>
          <t>Pass</t>
        </is>
      </c>
      <c r="E145" s="202" t="inlineStr">
        <is>
          <t>Fail</t>
        </is>
      </c>
      <c r="F145" s="202" t="inlineStr">
        <is>
          <t>Untested</t>
        </is>
      </c>
      <c r="G145" s="202" t="inlineStr">
        <is>
          <t>Rejected</t>
        </is>
      </c>
      <c r="H145" s="107" t="inlineStr">
        <is>
          <t>Total</t>
        </is>
      </c>
      <c r="I145" s="226" t="inlineStr">
        <is>
          <t>Pass</t>
        </is>
      </c>
      <c r="J145" s="202" t="inlineStr">
        <is>
          <t>Fail</t>
        </is>
      </c>
      <c r="K145" s="202" t="inlineStr">
        <is>
          <t>Untested</t>
        </is>
      </c>
      <c r="L145" s="202" t="inlineStr">
        <is>
          <t>Rejected</t>
        </is>
      </c>
      <c r="M145" s="107" t="inlineStr">
        <is>
          <t>Total</t>
        </is>
      </c>
      <c r="N145" s="226" t="inlineStr">
        <is>
          <t>Pass</t>
        </is>
      </c>
      <c r="O145" s="202" t="inlineStr">
        <is>
          <t>Fail</t>
        </is>
      </c>
      <c r="P145" s="202" t="inlineStr">
        <is>
          <t>Untested</t>
        </is>
      </c>
      <c r="Q145" s="202" t="inlineStr">
        <is>
          <t>Rejected</t>
        </is>
      </c>
      <c r="R145" s="107" t="inlineStr">
        <is>
          <t>Total</t>
        </is>
      </c>
      <c r="S145" s="287" t="n"/>
      <c r="T145" s="293" t="n"/>
      <c r="U145" s="293" t="n"/>
      <c r="V145" s="299" t="n"/>
      <c r="X145" s="300" t="n"/>
    </row>
    <row r="146" ht="15.75" customHeight="1">
      <c r="A146" s="192" t="n">
        <v>1</v>
      </c>
      <c r="B146" s="195">
        <f>'Module 1'!B1</f>
        <v/>
      </c>
      <c r="C146" s="170">
        <f>C4</f>
        <v/>
      </c>
      <c r="D146" s="171">
        <f>COUNTIFS('Module 1'!AV12:AV698,"Pass",'Module 1'!H12:H698,"High")</f>
        <v/>
      </c>
      <c r="E146" s="110">
        <f>COUNTIFS('Module 1'!AV12:AV698,"Fail",'Module 1'!H12:H698,"High")</f>
        <v/>
      </c>
      <c r="F146" s="110">
        <f>H146-D146-E146-G146</f>
        <v/>
      </c>
      <c r="G146" s="110">
        <f>COUNTIFS('Module 1'!AV12:AV698,"Rejected",'Module 1'!H12:H698,"High")</f>
        <v/>
      </c>
      <c r="H146" s="111">
        <f>'Module 1'!H3</f>
        <v/>
      </c>
      <c r="I146" s="112">
        <f>COUNTIFS('Module 1'!AV12:AV698,"Pass",'Module 1'!H12:H698,"Normal")</f>
        <v/>
      </c>
      <c r="J146" s="113">
        <f>COUNTIFS('Module 1'!AV12:AV698,"Fail",'Module 1'!H12:H698,"Normal")</f>
        <v/>
      </c>
      <c r="K146" s="113">
        <f>M146-I146-J146-L146</f>
        <v/>
      </c>
      <c r="L146" s="113">
        <f>COUNTIFS('Module 1'!AV12:AV698,"Rejected",'Module 1'!H12:H698,"Normal")</f>
        <v/>
      </c>
      <c r="M146" s="114">
        <f>'Module 1'!I3</f>
        <v/>
      </c>
      <c r="N146" s="160">
        <f>COUNTIFS('Module 1'!AV12:AV698,"Pass",'Module 1'!H12:H698,"Low")</f>
        <v/>
      </c>
      <c r="O146" s="161">
        <f>COUNTIFS('Module 1'!AV12:AV698,"Fail",'Module 1'!H12:H698,"Low")</f>
        <v/>
      </c>
      <c r="P146" s="161">
        <f>R146-N146-O146-Q146</f>
        <v/>
      </c>
      <c r="Q146" s="161">
        <f>COUNTIFS('Module 1'!AV12:AV698,"Rejected",'Module 1'!H12:H698,"Low")</f>
        <v/>
      </c>
      <c r="R146" s="162">
        <f>'Module 1'!J3</f>
        <v/>
      </c>
      <c r="S146" s="118">
        <f>H146+M146+R146</f>
        <v/>
      </c>
      <c r="T146" s="198">
        <f>'Module 1'!E1</f>
        <v/>
      </c>
      <c r="U146" s="145">
        <f>'Module 1'!AZ12</f>
        <v/>
      </c>
      <c r="V146" s="301" t="n"/>
      <c r="W146" s="289" t="n"/>
      <c r="X146" s="302" t="n"/>
    </row>
    <row r="147">
      <c r="A147" s="303" t="n"/>
      <c r="B147" s="304" t="n"/>
      <c r="C147" s="90">
        <f>C5</f>
        <v/>
      </c>
      <c r="D147" s="172">
        <f>COUNTIFS('Module 1'!AY11:AY697,"Pass",'Module 1'!H11:H697,"High")</f>
        <v/>
      </c>
      <c r="E147" s="121">
        <f>COUNTIFS('Module 1'!AY11:AY697,"Fail",'Module 1'!H11:H697,"High")</f>
        <v/>
      </c>
      <c r="F147" s="121">
        <f>H147-D147-E147-G147</f>
        <v/>
      </c>
      <c r="G147" s="121">
        <f>COUNTIFS('Module 1'!AY11:AY697,"Rejected",'Module 1'!H11:H697,"High")</f>
        <v/>
      </c>
      <c r="H147" s="122">
        <f>$H$146</f>
        <v/>
      </c>
      <c r="I147" s="123">
        <f>COUNTIFS('Module 1'!AY11:AY697,"Pass",'Module 1'!H11:H697,"Normal")</f>
        <v/>
      </c>
      <c r="J147" s="124">
        <f>COUNTIFS('Module 1'!AY11:AY697,"Fail",'Module 1'!H11:H697,"Normal")</f>
        <v/>
      </c>
      <c r="K147" s="124">
        <f>M147-I147-J147-L147</f>
        <v/>
      </c>
      <c r="L147" s="124">
        <f>COUNTIFS('Module 1'!AY11:AY697,"Rejected",'Module 1'!H11:H697,"Normal")</f>
        <v/>
      </c>
      <c r="M147" s="125">
        <f>$M$146</f>
        <v/>
      </c>
      <c r="N147" s="163">
        <f>COUNTIFS('Module 1'!AY11:AY697,"Pass",'Module 1'!H11:H697,"Low")</f>
        <v/>
      </c>
      <c r="O147" s="164">
        <f>COUNTIFS('Module 1'!AY11:AY697,"Fail",'Module 1'!H11:H697,"Low")</f>
        <v/>
      </c>
      <c r="P147" s="164">
        <f>R147-N147-O147-Q147</f>
        <v/>
      </c>
      <c r="Q147" s="164">
        <f>COUNTIFS('Module 1'!AY11:AY697,"Rejected",'Module 1'!H11:H697,"Low")</f>
        <v/>
      </c>
      <c r="R147" s="168">
        <f>$R$146</f>
        <v/>
      </c>
      <c r="S147" s="129">
        <f>H148+M148+R148</f>
        <v/>
      </c>
      <c r="T147" s="304" t="n"/>
      <c r="U147" s="146">
        <f>'Module 1'!BC12</f>
        <v/>
      </c>
      <c r="V147" s="305" t="n"/>
      <c r="W147" s="291" t="n"/>
      <c r="X147" s="306" t="n"/>
    </row>
    <row r="148" ht="15.75" customHeight="1">
      <c r="A148" s="303" t="n"/>
      <c r="B148" s="304" t="n"/>
      <c r="C148" s="90">
        <f>C6</f>
        <v/>
      </c>
      <c r="D148" s="172">
        <f>COUNTIFS('Module 1'!BB12:BB698,"Pass",'Module 1'!H12:H698,"High")</f>
        <v/>
      </c>
      <c r="E148" s="121">
        <f>COUNTIFS('Module 1'!BB12:BB698,"Fail",'Module 1'!H12:H698,"High")</f>
        <v/>
      </c>
      <c r="F148" s="121">
        <f>H148-D148-E148-G148</f>
        <v/>
      </c>
      <c r="G148" s="121">
        <f>COUNTIFS('Module 1'!BB12:BB698,"Rejected",'Module 1'!H12:H698,"High")</f>
        <v/>
      </c>
      <c r="H148" s="122">
        <f>$H$146</f>
        <v/>
      </c>
      <c r="I148" s="123">
        <f>COUNTIFS('Module 1'!BB12:BB698,"Pass",'Module 1'!H12:H698,"Normal")</f>
        <v/>
      </c>
      <c r="J148" s="124">
        <f>COUNTIFS('Module 1'!BB12:BB698,"Fail",'Module 1'!H12:H698,"Normal")</f>
        <v/>
      </c>
      <c r="K148" s="124">
        <f>M148-I148-J148-L148</f>
        <v/>
      </c>
      <c r="L148" s="124">
        <f>COUNTIFS('Module 1'!BB12:BB698,"Rejected",'Module 1'!H12:H698,"Normal")</f>
        <v/>
      </c>
      <c r="M148" s="125">
        <f>$M$146</f>
        <v/>
      </c>
      <c r="N148" s="163">
        <f>COUNTIFS('Module 1'!BB12:BB698,"Pass",'Module 1'!H12:H698,"Low")</f>
        <v/>
      </c>
      <c r="O148" s="164">
        <f>COUNTIFS('Module 1'!BB12:BB698,"Fail",'Module 1'!H12:H698,"Low")</f>
        <v/>
      </c>
      <c r="P148" s="164">
        <f>R148-N148-O148-Q148</f>
        <v/>
      </c>
      <c r="Q148" s="164">
        <f>COUNTIFS('Module 1'!BB12:BB698,"Rejected",'Module 1'!H12:H698,"Low")</f>
        <v/>
      </c>
      <c r="R148" s="168">
        <f>$R$146</f>
        <v/>
      </c>
      <c r="S148" s="129">
        <f>H149+M149+R149</f>
        <v/>
      </c>
      <c r="T148" s="304" t="n"/>
      <c r="U148" s="146">
        <f>'Module 1'!BF12</f>
        <v/>
      </c>
      <c r="V148" s="305" t="n"/>
      <c r="W148" s="291" t="n"/>
      <c r="X148" s="306" t="n"/>
    </row>
    <row r="149">
      <c r="A149" s="303" t="n"/>
      <c r="B149" s="304" t="n"/>
      <c r="C149" s="90">
        <f>C7</f>
        <v/>
      </c>
      <c r="D149" s="172">
        <f>COUNTIFS('Module 1'!BE12:BE698,"Pass",'Module 1'!H12:H698,"High")</f>
        <v/>
      </c>
      <c r="E149" s="121">
        <f>COUNTIFS('Module 1'!BE12:BE698,"Fail",'Module 1'!H12:H698,"High")</f>
        <v/>
      </c>
      <c r="F149" s="121">
        <f>H149-D149-E149-G149</f>
        <v/>
      </c>
      <c r="G149" s="121">
        <f>COUNTIFS('Module 1'!BE12:BE698,"Rejected",'Module 1'!H12:H698,"High")</f>
        <v/>
      </c>
      <c r="H149" s="122">
        <f>$H$146</f>
        <v/>
      </c>
      <c r="I149" s="123">
        <f>COUNTIFS('Module 1'!BE12:BE698,"Pass",'Module 1'!H12:H698,"Normal")</f>
        <v/>
      </c>
      <c r="J149" s="124">
        <f>COUNTIFS('Module 1'!BE12:BE698,"Fail",'Module 1'!H12:H698,"Normal")</f>
        <v/>
      </c>
      <c r="K149" s="124">
        <f>M149-I149-J149-L149</f>
        <v/>
      </c>
      <c r="L149" s="124">
        <f>COUNTIFS('Module 1'!BE12:BE698,"Rejected",'Module 1'!H12:H698,"Normal")</f>
        <v/>
      </c>
      <c r="M149" s="125">
        <f>$M$146</f>
        <v/>
      </c>
      <c r="N149" s="163">
        <f>COUNTIFS('Module 1'!BE12:BE698,"Pass",'Module 1'!H12:H698,"Low")</f>
        <v/>
      </c>
      <c r="O149" s="164">
        <f>COUNTIFS('Module 1'!BE12:BE698,"Fail",'Module 1'!H12:H698,"Low")</f>
        <v/>
      </c>
      <c r="P149" s="164">
        <f>R149-N149-O149-Q149</f>
        <v/>
      </c>
      <c r="Q149" s="164">
        <f>COUNTIFS('Module 1'!BE12:BE698,"Rejected",'Module 1'!H12:H698,"Low")</f>
        <v/>
      </c>
      <c r="R149" s="168">
        <f>$R$146</f>
        <v/>
      </c>
      <c r="S149" s="129">
        <f>H150+M150+R150</f>
        <v/>
      </c>
      <c r="T149" s="304" t="n"/>
      <c r="U149" s="146">
        <f>'Module 1'!BI12</f>
        <v/>
      </c>
      <c r="V149" s="305" t="n"/>
      <c r="W149" s="291" t="n"/>
      <c r="X149" s="306" t="n"/>
    </row>
    <row r="150">
      <c r="A150" s="303" t="n"/>
      <c r="B150" s="304" t="n"/>
      <c r="C150" s="90">
        <f>C8</f>
        <v/>
      </c>
      <c r="D150" s="172">
        <f>COUNTIFS('Module 1'!BH12:BH698,"Pass",'Module 1'!H12:H698,"High")</f>
        <v/>
      </c>
      <c r="E150" s="121">
        <f>COUNTIFS('Module 1'!BH12:BH698,"Fail",'Module 1'!H12:H698,"High")</f>
        <v/>
      </c>
      <c r="F150" s="121">
        <f>H150-D150-E150-G150</f>
        <v/>
      </c>
      <c r="G150" s="121">
        <f>COUNTIFS('Module 1'!BH12:BH698,"Rejected",'Module 1'!H12:H698,"High")</f>
        <v/>
      </c>
      <c r="H150" s="122">
        <f>$H$146</f>
        <v/>
      </c>
      <c r="I150" s="123">
        <f>COUNTIFS('Module 1'!BH12:BH698,"Pass",'Module 1'!H12:H698,"Normal")</f>
        <v/>
      </c>
      <c r="J150" s="124">
        <f>COUNTIFS('Module 1'!BH12:BH698,"Fail",'Module 1'!H12:H698,"Normal")</f>
        <v/>
      </c>
      <c r="K150" s="124">
        <f>M150-I150-J150-L150</f>
        <v/>
      </c>
      <c r="L150" s="124">
        <f>COUNTIFS('Module 1'!BH12:BH698,"Rejected",'Module 1'!H12:H698,"Normal")</f>
        <v/>
      </c>
      <c r="M150" s="125">
        <f>$M$146</f>
        <v/>
      </c>
      <c r="N150" s="163">
        <f>COUNTIFS('Module 1'!BH12:BH698,"Pass",'Module 1'!H12:H698,"Low")</f>
        <v/>
      </c>
      <c r="O150" s="164">
        <f>COUNTIFS('Module 1'!BH12:BH698,"Fail",'Module 1'!H12:H698,"Low")</f>
        <v/>
      </c>
      <c r="P150" s="164">
        <f>R150-N150-O150-Q150</f>
        <v/>
      </c>
      <c r="Q150" s="164">
        <f>COUNTIFS('Module 1'!BH12:BH698,"Rejected",'Module 1'!H12:H698,"Low")</f>
        <v/>
      </c>
      <c r="R150" s="168">
        <f>$R$146</f>
        <v/>
      </c>
      <c r="S150" s="129">
        <f>H151+M151+R151</f>
        <v/>
      </c>
      <c r="T150" s="304" t="n"/>
      <c r="U150" s="146">
        <f>'Module 1'!BL12</f>
        <v/>
      </c>
      <c r="V150" s="305" t="n"/>
      <c r="W150" s="291" t="n"/>
      <c r="X150" s="306" t="n"/>
    </row>
    <row r="151" ht="15.75" customHeight="1" thickBot="1">
      <c r="A151" s="298" t="n"/>
      <c r="B151" s="293" t="n"/>
      <c r="C151" s="173">
        <f>C9</f>
        <v/>
      </c>
      <c r="D151" s="172">
        <f>COUNTIFS('Module 1'!BK12:BK698,"Pass",'Module 1'!H12:H698,"High")</f>
        <v/>
      </c>
      <c r="E151" s="121">
        <f>COUNTIFS('Module 1'!BK12:BK698,"Fail",'Module 1'!H12:H698,"High")</f>
        <v/>
      </c>
      <c r="F151" s="121">
        <f>H151-D151-E151-G151</f>
        <v/>
      </c>
      <c r="G151" s="121">
        <f>COUNTIFS('Module 1'!BK12:BK698,"Rejected",'Module 1'!H12:H698,"High")</f>
        <v/>
      </c>
      <c r="H151" s="122">
        <f>$H$146</f>
        <v/>
      </c>
      <c r="I151" s="123">
        <f>COUNTIFS('Module 1'!BK12:BK698,"Pass",'Module 1'!H12:H698,"Normal")</f>
        <v/>
      </c>
      <c r="J151" s="124">
        <f>COUNTIFS('Module 1'!BK12:BK698,"Fail",'Module 1'!H12:H698,"Normal")</f>
        <v/>
      </c>
      <c r="K151" s="124">
        <f>M151-I151-J151-L151</f>
        <v/>
      </c>
      <c r="L151" s="124">
        <f>COUNTIFS('Module 1'!BK12:BK698,"Rejected",'Module 1'!H12:H698,"Normal")</f>
        <v/>
      </c>
      <c r="M151" s="125">
        <f>$M$146</f>
        <v/>
      </c>
      <c r="N151" s="163">
        <f>COUNTIFS('Module 1'!BK12:BK698,"Pass",'Module 1'!H12:H698,"Low")</f>
        <v/>
      </c>
      <c r="O151" s="164">
        <f>COUNTIFS('Module 1'!BK12:BK698,"Fail",'Module 1'!H12:H698,"Low")</f>
        <v/>
      </c>
      <c r="P151" s="164">
        <f>R151-N151-O151-Q151</f>
        <v/>
      </c>
      <c r="Q151" s="164">
        <f>COUNTIFS('Module 1'!BK12:BK698,"Rejected",'Module 1'!H12:H698,"Low")</f>
        <v/>
      </c>
      <c r="R151" s="168">
        <f>$R$146</f>
        <v/>
      </c>
      <c r="S151" s="129">
        <f>H152+M152+R152</f>
        <v/>
      </c>
      <c r="T151" s="293" t="n"/>
      <c r="U151" s="147">
        <f>'Module 1'!BP12</f>
        <v/>
      </c>
      <c r="V151" s="307" t="n"/>
      <c r="W151" s="294" t="n"/>
      <c r="X151" s="308" t="n"/>
    </row>
    <row r="152">
      <c r="A152" s="192" t="n">
        <v>2</v>
      </c>
      <c r="B152" s="195">
        <f>B104</f>
        <v/>
      </c>
      <c r="C152" s="170">
        <f>C4</f>
        <v/>
      </c>
      <c r="D152" s="171">
        <f>COUNTIFS(#REF!,"Pass",#REF!,"High")</f>
        <v/>
      </c>
      <c r="E152" s="110">
        <f>COUNTIFS(#REF!,"Fail",#REF!,"High")</f>
        <v/>
      </c>
      <c r="F152" s="110">
        <f>H152-D152-E152-G152</f>
        <v/>
      </c>
      <c r="G152" s="110">
        <f>COUNTIFS(#REF!,"Rejected",#REF!,"High")</f>
        <v/>
      </c>
      <c r="H152" s="111">
        <f>#REF!</f>
        <v/>
      </c>
      <c r="I152" s="112">
        <f>COUNTIFS(#REF!,"Pass",#REF!,"Normal")</f>
        <v/>
      </c>
      <c r="J152" s="113">
        <f>COUNTIFS(#REF!,"Fail",#REF!,"Normal")</f>
        <v/>
      </c>
      <c r="K152" s="113">
        <f>M152-I152-J152-L152</f>
        <v/>
      </c>
      <c r="L152" s="113">
        <f>COUNTIFS(#REF!,"Rejected",#REF!,"Normal")</f>
        <v/>
      </c>
      <c r="M152" s="114">
        <f>#REF!</f>
        <v/>
      </c>
      <c r="N152" s="160">
        <f>COUNTIFS(#REF!,"Pass",#REF!,"Low")</f>
        <v/>
      </c>
      <c r="O152" s="161">
        <f>COUNTIFS(#REF!,"Fail",#REF!,"Low")</f>
        <v/>
      </c>
      <c r="P152" s="161">
        <f>R152-N152-O152-Q152</f>
        <v/>
      </c>
      <c r="Q152" s="161">
        <f>COUNTIFS(#REF!,"Rejected",#REF!,"Low")</f>
        <v/>
      </c>
      <c r="R152" s="162">
        <f>#REF!</f>
        <v/>
      </c>
      <c r="S152" s="118">
        <f>H152+M152+R152</f>
        <v/>
      </c>
      <c r="T152" s="198">
        <f>#REF!</f>
        <v/>
      </c>
      <c r="U152" s="145">
        <f>#REF!</f>
        <v/>
      </c>
      <c r="V152" s="301" t="n"/>
      <c r="W152" s="289" t="n"/>
      <c r="X152" s="302" t="n"/>
    </row>
    <row r="153">
      <c r="A153" s="303" t="n"/>
      <c r="B153" s="304" t="n"/>
      <c r="C153" s="90">
        <f>C5</f>
        <v/>
      </c>
      <c r="D153" s="172">
        <f>COUNTIFS(#REF!,"Pass",#REF!,"High")</f>
        <v/>
      </c>
      <c r="E153" s="121">
        <f>COUNTIFS(#REF!,"Fail",#REF!,"High")</f>
        <v/>
      </c>
      <c r="F153" s="121">
        <f>H153-D153-E153-G153</f>
        <v/>
      </c>
      <c r="G153" s="121">
        <f>COUNTIFS(#REF!,"Rejected",#REF!,"High")</f>
        <v/>
      </c>
      <c r="H153" s="122">
        <f>$H$152</f>
        <v/>
      </c>
      <c r="I153" s="123">
        <f>COUNTIFS(#REF!,"Pass",#REF!,"Normal")</f>
        <v/>
      </c>
      <c r="J153" s="124">
        <f>COUNTIFS(#REF!,"Fail",#REF!,"Normal")</f>
        <v/>
      </c>
      <c r="K153" s="124">
        <f>M153-I153-J153-L153</f>
        <v/>
      </c>
      <c r="L153" s="124">
        <f>COUNTIFS(#REF!,"Rejected",#REF!,"Normal")</f>
        <v/>
      </c>
      <c r="M153" s="125">
        <f>$M$152</f>
        <v/>
      </c>
      <c r="N153" s="163">
        <f>COUNTIFS(#REF!,"Pass",#REF!,"Low")</f>
        <v/>
      </c>
      <c r="O153" s="164">
        <f>COUNTIFS(#REF!,"Fail",#REF!,"Low")</f>
        <v/>
      </c>
      <c r="P153" s="164">
        <f>R153-N153-O153-Q153</f>
        <v/>
      </c>
      <c r="Q153" s="164">
        <f>COUNTIFS(#REF!,"Rejected",#REF!,"Low")</f>
        <v/>
      </c>
      <c r="R153" s="168">
        <f>$R$152</f>
        <v/>
      </c>
      <c r="S153" s="129">
        <f>H153+M153+R153</f>
        <v/>
      </c>
      <c r="T153" s="304" t="n"/>
      <c r="U153" s="146">
        <f>#REF!</f>
        <v/>
      </c>
      <c r="V153" s="305" t="n"/>
      <c r="W153" s="291" t="n"/>
      <c r="X153" s="306" t="n"/>
    </row>
    <row r="154" ht="18.75" customHeight="1">
      <c r="A154" s="303" t="n"/>
      <c r="B154" s="304" t="n"/>
      <c r="C154" s="90">
        <f>C6</f>
        <v/>
      </c>
      <c r="D154" s="172">
        <f>COUNTIFS(#REF!,"Pass",#REF!,"High")</f>
        <v/>
      </c>
      <c r="E154" s="121">
        <f>COUNTIFS(#REF!,"Fail",#REF!,"High")</f>
        <v/>
      </c>
      <c r="F154" s="121">
        <f>H154-D154-E154-G154</f>
        <v/>
      </c>
      <c r="G154" s="121">
        <f>COUNTIFS(#REF!,"Rejected",#REF!,"High")</f>
        <v/>
      </c>
      <c r="H154" s="122">
        <f>$H$152</f>
        <v/>
      </c>
      <c r="I154" s="123">
        <f>COUNTIFS(#REF!,"Pass",#REF!,"Normal")</f>
        <v/>
      </c>
      <c r="J154" s="124">
        <f>COUNTIFS(#REF!,"Fail",#REF!,"Normal")</f>
        <v/>
      </c>
      <c r="K154" s="124">
        <f>M154-I154-J154-L154</f>
        <v/>
      </c>
      <c r="L154" s="124">
        <f>COUNTIFS(#REF!,"Rejected",#REF!,"Normal")</f>
        <v/>
      </c>
      <c r="M154" s="125">
        <f>$M$152</f>
        <v/>
      </c>
      <c r="N154" s="163">
        <f>COUNTIFS(#REF!,"Pass",#REF!,"Low")</f>
        <v/>
      </c>
      <c r="O154" s="164">
        <f>COUNTIFS(#REF!,"Fail",#REF!,"Low")</f>
        <v/>
      </c>
      <c r="P154" s="164">
        <f>R154-N154-O154-Q154</f>
        <v/>
      </c>
      <c r="Q154" s="164">
        <f>COUNTIFS(#REF!,"Rejected",#REF!,"Low")</f>
        <v/>
      </c>
      <c r="R154" s="168">
        <f>$R$152</f>
        <v/>
      </c>
      <c r="S154" s="129">
        <f>H154+M154+R154</f>
        <v/>
      </c>
      <c r="T154" s="304" t="n"/>
      <c r="U154" s="146">
        <f>#REF!</f>
        <v/>
      </c>
      <c r="V154" s="305" t="n"/>
      <c r="W154" s="291" t="n"/>
      <c r="X154" s="306" t="n"/>
    </row>
    <row r="155">
      <c r="A155" s="303" t="n"/>
      <c r="B155" s="304" t="n"/>
      <c r="C155" s="90">
        <f>C7</f>
        <v/>
      </c>
      <c r="D155" s="172">
        <f>COUNTIFS(#REF!,"Pass",#REF!,"High")</f>
        <v/>
      </c>
      <c r="E155" s="121">
        <f>COUNTIFS(#REF!,"Fail",#REF!,"High")</f>
        <v/>
      </c>
      <c r="F155" s="121">
        <f>H155-D155-E155-G155</f>
        <v/>
      </c>
      <c r="G155" s="121">
        <f>COUNTIFS(#REF!,"Rejected",#REF!,"High")</f>
        <v/>
      </c>
      <c r="H155" s="122">
        <f>$H$152</f>
        <v/>
      </c>
      <c r="I155" s="123">
        <f>COUNTIFS(#REF!,"Pass",#REF!,"Normal")</f>
        <v/>
      </c>
      <c r="J155" s="124">
        <f>COUNTIFS(#REF!,"Fail",#REF!,"Normal")</f>
        <v/>
      </c>
      <c r="K155" s="124">
        <f>M155-I155-J155-L155</f>
        <v/>
      </c>
      <c r="L155" s="124">
        <f>COUNTIFS(#REF!,"Rejected",#REF!,"Normal")</f>
        <v/>
      </c>
      <c r="M155" s="125">
        <f>$M$152</f>
        <v/>
      </c>
      <c r="N155" s="163">
        <f>COUNTIFS(#REF!,"Pass",#REF!,"Low")</f>
        <v/>
      </c>
      <c r="O155" s="164">
        <f>COUNTIFS(#REF!,"Fail",#REF!,"Low")</f>
        <v/>
      </c>
      <c r="P155" s="164">
        <f>R155-N155-O155-Q155</f>
        <v/>
      </c>
      <c r="Q155" s="164">
        <f>COUNTIFS(#REF!,"Rejected",#REF!,"Low")</f>
        <v/>
      </c>
      <c r="R155" s="168">
        <f>$R$152</f>
        <v/>
      </c>
      <c r="S155" s="129">
        <f>H155+M155+R155</f>
        <v/>
      </c>
      <c r="T155" s="304" t="n"/>
      <c r="U155" s="146">
        <f>#REF!</f>
        <v/>
      </c>
      <c r="V155" s="305" t="n"/>
      <c r="W155" s="291" t="n"/>
      <c r="X155" s="306" t="n"/>
    </row>
    <row r="156">
      <c r="A156" s="303" t="n"/>
      <c r="B156" s="304" t="n"/>
      <c r="C156" s="90">
        <f>C8</f>
        <v/>
      </c>
      <c r="D156" s="172">
        <f>COUNTIFS(#REF!,"Pass",#REF!,"High")</f>
        <v/>
      </c>
      <c r="E156" s="121">
        <f>COUNTIFS(#REF!,"Fail",#REF!,"High")</f>
        <v/>
      </c>
      <c r="F156" s="121">
        <f>H156-D156-E156-G156</f>
        <v/>
      </c>
      <c r="G156" s="121">
        <f>COUNTIFS(#REF!,"Rejected",#REF!,"High")</f>
        <v/>
      </c>
      <c r="H156" s="122">
        <f>$H$152</f>
        <v/>
      </c>
      <c r="I156" s="123">
        <f>COUNTIFS(#REF!,"Pass",#REF!,"Normal")</f>
        <v/>
      </c>
      <c r="J156" s="124">
        <f>COUNTIFS(#REF!,"Fail",#REF!,"Normal")</f>
        <v/>
      </c>
      <c r="K156" s="124">
        <f>M156-I156-J156-L156</f>
        <v/>
      </c>
      <c r="L156" s="124">
        <f>COUNTIFS(#REF!,"Rejected",#REF!,"Normal")</f>
        <v/>
      </c>
      <c r="M156" s="125">
        <f>$M$152</f>
        <v/>
      </c>
      <c r="N156" s="163">
        <f>COUNTIFS(#REF!,"Pass",#REF!,"Low")</f>
        <v/>
      </c>
      <c r="O156" s="164">
        <f>COUNTIFS(#REF!,"Fail",#REF!,"Low")</f>
        <v/>
      </c>
      <c r="P156" s="164">
        <f>R156-N156-O156-Q156</f>
        <v/>
      </c>
      <c r="Q156" s="164">
        <f>COUNTIFS(#REF!,"Rejected",#REF!,"Low")</f>
        <v/>
      </c>
      <c r="R156" s="168">
        <f>$R$152</f>
        <v/>
      </c>
      <c r="S156" s="129">
        <f>H156+M156+R156</f>
        <v/>
      </c>
      <c r="T156" s="304" t="n"/>
      <c r="U156" s="146">
        <f>#REF!</f>
        <v/>
      </c>
      <c r="V156" s="305" t="n"/>
      <c r="W156" s="291" t="n"/>
      <c r="X156" s="306" t="n"/>
    </row>
    <row r="157" ht="11" customHeight="1" thickBot="1">
      <c r="A157" s="298" t="n"/>
      <c r="B157" s="293" t="n"/>
      <c r="C157" s="173">
        <f>C9</f>
        <v/>
      </c>
      <c r="D157" s="174">
        <f>COUNTIFS(#REF!,"Pass",#REF!,"High")</f>
        <v/>
      </c>
      <c r="E157" s="134">
        <f>COUNTIFS(#REF!,"Fail",#REF!,"High")</f>
        <v/>
      </c>
      <c r="F157" s="134">
        <f>H157-D157-E157-G157</f>
        <v/>
      </c>
      <c r="G157" s="134">
        <f>COUNTIFS(#REF!,"Rejected",#REF!,"High")</f>
        <v/>
      </c>
      <c r="H157" s="122">
        <f>$H$152</f>
        <v/>
      </c>
      <c r="I157" s="136">
        <f>COUNTIFS(#REF!,"Pass",#REF!,"Normal")</f>
        <v/>
      </c>
      <c r="J157" s="137">
        <f>COUNTIFS(#REF!,"Fail",#REF!,"Normal")</f>
        <v/>
      </c>
      <c r="K157" s="137">
        <f>M157-I157-J157-L157</f>
        <v/>
      </c>
      <c r="L157" s="137">
        <f>COUNTIFS(#REF!,"Rejected",#REF!,"Normal")</f>
        <v/>
      </c>
      <c r="M157" s="125">
        <f>$M$152</f>
        <v/>
      </c>
      <c r="N157" s="166">
        <f>COUNTIFS(#REF!,"Pass",#REF!,"Low")</f>
        <v/>
      </c>
      <c r="O157" s="167">
        <f>COUNTIFS(#REF!,"Fail",#REF!,"Low")</f>
        <v/>
      </c>
      <c r="P157" s="167">
        <f>R157-N157-O157-Q157</f>
        <v/>
      </c>
      <c r="Q157" s="167">
        <f>COUNTIFS(#REF!,"Rejected",#REF!,"Low")</f>
        <v/>
      </c>
      <c r="R157" s="168">
        <f>$R$152</f>
        <v/>
      </c>
      <c r="S157" s="140">
        <f>H157+M157+R157</f>
        <v/>
      </c>
      <c r="T157" s="293" t="n"/>
      <c r="U157" s="147">
        <f>#REF!</f>
        <v/>
      </c>
      <c r="V157" s="307" t="n"/>
      <c r="W157" s="294" t="n"/>
      <c r="X157" s="308" t="n"/>
    </row>
    <row r="158">
      <c r="A158" s="192" t="n">
        <v>3</v>
      </c>
      <c r="B158" s="195">
        <f>B110</f>
        <v/>
      </c>
      <c r="C158" s="170">
        <f>C4</f>
        <v/>
      </c>
      <c r="D158" s="171">
        <f>COUNTIFS(#REF!,"Pass",#REF!,"High")</f>
        <v/>
      </c>
      <c r="E158" s="110">
        <f>COUNTIFS(#REF!,"Fail",#REF!,"High")</f>
        <v/>
      </c>
      <c r="F158" s="110">
        <f>H158-D158-E158-G158</f>
        <v/>
      </c>
      <c r="G158" s="110">
        <f>COUNTIFS(#REF!,"Rejected",#REF!,"High")</f>
        <v/>
      </c>
      <c r="H158" s="111">
        <f>#REF!</f>
        <v/>
      </c>
      <c r="I158" s="112">
        <f>COUNTIFS(#REF!,"Pass",#REF!,"Normal")</f>
        <v/>
      </c>
      <c r="J158" s="113">
        <f>COUNTIFS(#REF!,"Fail",#REF!,"Normal")</f>
        <v/>
      </c>
      <c r="K158" s="113">
        <f>M158-I158-J158-L158</f>
        <v/>
      </c>
      <c r="L158" s="113">
        <f>COUNTIFS(#REF!,"Rejected",#REF!,"Normal")</f>
        <v/>
      </c>
      <c r="M158" s="114">
        <f>#REF!</f>
        <v/>
      </c>
      <c r="N158" s="160">
        <f>COUNTIFS(#REF!,"Pass",#REF!,"Low")</f>
        <v/>
      </c>
      <c r="O158" s="161">
        <f>COUNTIFS(#REF!,"Fail",#REF!,"Low")</f>
        <v/>
      </c>
      <c r="P158" s="161">
        <f>R158-N158-O158-Q158</f>
        <v/>
      </c>
      <c r="Q158" s="161">
        <f>COUNTIFS(#REF!,"Rejected",#REF!,"Low")</f>
        <v/>
      </c>
      <c r="R158" s="162">
        <f>#REF!</f>
        <v/>
      </c>
      <c r="S158" s="118">
        <f>H158+M158+R158</f>
        <v/>
      </c>
      <c r="T158" s="198">
        <f>#REF!</f>
        <v/>
      </c>
      <c r="U158" s="145">
        <f>#REF!</f>
        <v/>
      </c>
      <c r="V158" s="301" t="n"/>
      <c r="W158" s="289" t="n"/>
      <c r="X158" s="302" t="n"/>
    </row>
    <row r="159">
      <c r="A159" s="303" t="n"/>
      <c r="B159" s="304" t="n"/>
      <c r="C159" s="90">
        <f>C5</f>
        <v/>
      </c>
      <c r="D159" s="172">
        <f>COUNTIFS(#REF!,"Pass",#REF!,"High")</f>
        <v/>
      </c>
      <c r="E159" s="121">
        <f>COUNTIFS(#REF!,"Fail",#REF!,"High")</f>
        <v/>
      </c>
      <c r="F159" s="121">
        <f>H159-D159-E159-G159</f>
        <v/>
      </c>
      <c r="G159" s="121">
        <f>COUNTIFS(#REF!,"Rejected",#REF!,"High")</f>
        <v/>
      </c>
      <c r="H159" s="122">
        <f>$H$158</f>
        <v/>
      </c>
      <c r="I159" s="123">
        <f>COUNTIFS(#REF!,"Pass",#REF!,"Normal")</f>
        <v/>
      </c>
      <c r="J159" s="124">
        <f>COUNTIFS(#REF!,"Fail",#REF!,"Normal")</f>
        <v/>
      </c>
      <c r="K159" s="124">
        <f>M159-I159-J159-L159</f>
        <v/>
      </c>
      <c r="L159" s="124">
        <f>COUNTIFS(#REF!,"Rejected",#REF!,"Normal")</f>
        <v/>
      </c>
      <c r="M159" s="125">
        <f>$M$158</f>
        <v/>
      </c>
      <c r="N159" s="163">
        <f>COUNTIFS(#REF!,"Pass",#REF!,"Low")</f>
        <v/>
      </c>
      <c r="O159" s="164">
        <f>COUNTIFS(#REF!,"Fail",#REF!,"Low")</f>
        <v/>
      </c>
      <c r="P159" s="164">
        <f>R159-N159-O159-Q159</f>
        <v/>
      </c>
      <c r="Q159" s="164">
        <f>COUNTIFS(#REF!,"Rejected",#REF!,"Low")</f>
        <v/>
      </c>
      <c r="R159" s="168">
        <f>$R$158</f>
        <v/>
      </c>
      <c r="S159" s="129">
        <f>H159+M159+R159</f>
        <v/>
      </c>
      <c r="T159" s="304" t="n"/>
      <c r="U159" s="146">
        <f>#REF!</f>
        <v/>
      </c>
      <c r="V159" s="305" t="n"/>
      <c r="W159" s="291" t="n"/>
      <c r="X159" s="306" t="n"/>
    </row>
    <row r="160">
      <c r="A160" s="303" t="n"/>
      <c r="B160" s="304" t="n"/>
      <c r="C160" s="90">
        <f>C6</f>
        <v/>
      </c>
      <c r="D160" s="172">
        <f>COUNTIFS(#REF!,"Pass",#REF!,"High")</f>
        <v/>
      </c>
      <c r="E160" s="121">
        <f>COUNTIFS(#REF!,"Fail",#REF!,"High")</f>
        <v/>
      </c>
      <c r="F160" s="121">
        <f>H160-D160-E160-G160</f>
        <v/>
      </c>
      <c r="G160" s="121">
        <f>COUNTIFS(#REF!,"Rejected",#REF!,"High")</f>
        <v/>
      </c>
      <c r="H160" s="122">
        <f>$H$158</f>
        <v/>
      </c>
      <c r="I160" s="123">
        <f>COUNTIFS(#REF!,"Pass",#REF!,"Normal")</f>
        <v/>
      </c>
      <c r="J160" s="124">
        <f>COUNTIFS(#REF!,"Fail",#REF!,"Normal")</f>
        <v/>
      </c>
      <c r="K160" s="124">
        <f>M160-I160-J160-L160</f>
        <v/>
      </c>
      <c r="L160" s="124">
        <f>COUNTIFS(#REF!,"Rejected",#REF!,"Normal")</f>
        <v/>
      </c>
      <c r="M160" s="125">
        <f>$M$158</f>
        <v/>
      </c>
      <c r="N160" s="163">
        <f>COUNTIFS(#REF!,"Pass",#REF!,"Low")</f>
        <v/>
      </c>
      <c r="O160" s="164">
        <f>COUNTIFS(#REF!,"Fail",#REF!,"Low")</f>
        <v/>
      </c>
      <c r="P160" s="164">
        <f>R160-N160-O160-Q160</f>
        <v/>
      </c>
      <c r="Q160" s="164">
        <f>COUNTIFS(#REF!,"Rejected",#REF!,"Low")</f>
        <v/>
      </c>
      <c r="R160" s="168">
        <f>$R$158</f>
        <v/>
      </c>
      <c r="S160" s="129">
        <f>H160+M160+R160</f>
        <v/>
      </c>
      <c r="T160" s="304" t="n"/>
      <c r="U160" s="146">
        <f>#REF!</f>
        <v/>
      </c>
      <c r="V160" s="305" t="n"/>
      <c r="W160" s="291" t="n"/>
      <c r="X160" s="306" t="n"/>
    </row>
    <row r="161">
      <c r="A161" s="303" t="n"/>
      <c r="B161" s="304" t="n"/>
      <c r="C161" s="90">
        <f>C7</f>
        <v/>
      </c>
      <c r="D161" s="172">
        <f>COUNTIFS(#REF!,"Pass",#REF!,"High")</f>
        <v/>
      </c>
      <c r="E161" s="121">
        <f>COUNTIFS(#REF!,"Fail",#REF!,"High")</f>
        <v/>
      </c>
      <c r="F161" s="121">
        <f>H161-D161-E161-G161</f>
        <v/>
      </c>
      <c r="G161" s="121">
        <f>COUNTIFS(#REF!,"Rejected",#REF!,"High")</f>
        <v/>
      </c>
      <c r="H161" s="122">
        <f>$H$158</f>
        <v/>
      </c>
      <c r="I161" s="123">
        <f>COUNTIFS(#REF!,"Pass",#REF!,"Normal")</f>
        <v/>
      </c>
      <c r="J161" s="124">
        <f>COUNTIFS(#REF!,"Fail",#REF!,"Normal")</f>
        <v/>
      </c>
      <c r="K161" s="124">
        <f>M161-I161-J161-L161</f>
        <v/>
      </c>
      <c r="L161" s="124">
        <f>COUNTIFS(#REF!,"Rejected",#REF!,"Normal")</f>
        <v/>
      </c>
      <c r="M161" s="125">
        <f>$M$158</f>
        <v/>
      </c>
      <c r="N161" s="163">
        <f>COUNTIFS(#REF!,"Pass",#REF!,"Low")</f>
        <v/>
      </c>
      <c r="O161" s="164">
        <f>COUNTIFS(#REF!,"Fail",#REF!,"Low")</f>
        <v/>
      </c>
      <c r="P161" s="164">
        <f>R161-N161-O161-Q161</f>
        <v/>
      </c>
      <c r="Q161" s="164">
        <f>COUNTIFS(#REF!,"Rejected",#REF!,"Low")</f>
        <v/>
      </c>
      <c r="R161" s="168">
        <f>$R$158</f>
        <v/>
      </c>
      <c r="S161" s="129">
        <f>H161+M161+R161</f>
        <v/>
      </c>
      <c r="T161" s="304" t="n"/>
      <c r="U161" s="146">
        <f>#REF!</f>
        <v/>
      </c>
      <c r="V161" s="305" t="n"/>
      <c r="W161" s="291" t="n"/>
      <c r="X161" s="306" t="n"/>
    </row>
    <row r="162">
      <c r="A162" s="303" t="n"/>
      <c r="B162" s="304" t="n"/>
      <c r="C162" s="90">
        <f>C8</f>
        <v/>
      </c>
      <c r="D162" s="172">
        <f>COUNTIFS(#REF!,"Pass",#REF!,"High")</f>
        <v/>
      </c>
      <c r="E162" s="121">
        <f>COUNTIFS(#REF!,"Fail",#REF!,"High")</f>
        <v/>
      </c>
      <c r="F162" s="121">
        <f>H162-D162-E162-G162</f>
        <v/>
      </c>
      <c r="G162" s="121">
        <f>COUNTIFS(#REF!,"Rejected",#REF!,"High")</f>
        <v/>
      </c>
      <c r="H162" s="122">
        <f>$H$158</f>
        <v/>
      </c>
      <c r="I162" s="123">
        <f>COUNTIFS(#REF!,"Pass",#REF!,"Normal")</f>
        <v/>
      </c>
      <c r="J162" s="124">
        <f>COUNTIFS(#REF!,"Fail",#REF!,"Normal")</f>
        <v/>
      </c>
      <c r="K162" s="124">
        <f>M162-I162-J162-L162</f>
        <v/>
      </c>
      <c r="L162" s="124">
        <f>COUNTIFS(#REF!,"Rejected",#REF!,"Normal")</f>
        <v/>
      </c>
      <c r="M162" s="125">
        <f>$M$158</f>
        <v/>
      </c>
      <c r="N162" s="163">
        <f>COUNTIFS(#REF!,"Pass",#REF!,"Low")</f>
        <v/>
      </c>
      <c r="O162" s="164">
        <f>COUNTIFS(#REF!,"Fail",#REF!,"Low")</f>
        <v/>
      </c>
      <c r="P162" s="164">
        <f>R162-N162-O162-Q162</f>
        <v/>
      </c>
      <c r="Q162" s="164">
        <f>COUNTIFS(#REF!,"Rejected",#REF!,"Low")</f>
        <v/>
      </c>
      <c r="R162" s="168">
        <f>$R$158</f>
        <v/>
      </c>
      <c r="S162" s="129">
        <f>H162+M162+R162</f>
        <v/>
      </c>
      <c r="T162" s="304" t="n"/>
      <c r="U162" s="146">
        <f>#REF!</f>
        <v/>
      </c>
      <c r="V162" s="305" t="n"/>
      <c r="W162" s="291" t="n"/>
      <c r="X162" s="306" t="n"/>
    </row>
    <row r="163" ht="11" customHeight="1" thickBot="1">
      <c r="A163" s="298" t="n"/>
      <c r="B163" s="293" t="n"/>
      <c r="C163" s="173">
        <f>C9</f>
        <v/>
      </c>
      <c r="D163" s="174">
        <f>COUNTIFS(#REF!,"Pass",#REF!,"High")</f>
        <v/>
      </c>
      <c r="E163" s="134">
        <f>COUNTIFS(#REF!,"Fail",#REF!,"High")</f>
        <v/>
      </c>
      <c r="F163" s="134">
        <f>H163-D163-E163-G163</f>
        <v/>
      </c>
      <c r="G163" s="134">
        <f>COUNTIFS(#REF!,"Rejected",#REF!,"High")</f>
        <v/>
      </c>
      <c r="H163" s="122">
        <f>$H$158</f>
        <v/>
      </c>
      <c r="I163" s="136">
        <f>COUNTIFS(#REF!,"Pass",#REF!,"Normal")</f>
        <v/>
      </c>
      <c r="J163" s="137">
        <f>COUNTIFS(#REF!,"Fail",#REF!,"Normal")</f>
        <v/>
      </c>
      <c r="K163" s="137">
        <f>M163-I163-J163-L163</f>
        <v/>
      </c>
      <c r="L163" s="137">
        <f>COUNTIFS(#REF!,"Rejected",#REF!,"Normal")</f>
        <v/>
      </c>
      <c r="M163" s="125">
        <f>$M$158</f>
        <v/>
      </c>
      <c r="N163" s="166">
        <f>COUNTIFS(#REF!,"Pass",#REF!,"Low")</f>
        <v/>
      </c>
      <c r="O163" s="167">
        <f>COUNTIFS(#REF!,"Fail",#REF!,"Low")</f>
        <v/>
      </c>
      <c r="P163" s="167">
        <f>R163-N163-O163-Q163</f>
        <v/>
      </c>
      <c r="Q163" s="167">
        <f>COUNTIFS(#REF!,"Rejected",#REF!,"Low")</f>
        <v/>
      </c>
      <c r="R163" s="168">
        <f>$R$158</f>
        <v/>
      </c>
      <c r="S163" s="140">
        <f>H163+M163+R163</f>
        <v/>
      </c>
      <c r="T163" s="293" t="n"/>
      <c r="U163" s="147">
        <f>#REF!</f>
        <v/>
      </c>
      <c r="V163" s="307" t="n"/>
      <c r="W163" s="294" t="n"/>
      <c r="X163" s="308" t="n"/>
    </row>
    <row r="164">
      <c r="A164" s="192" t="n">
        <v>4</v>
      </c>
      <c r="B164" s="195">
        <f>B116</f>
        <v/>
      </c>
      <c r="C164" s="170">
        <f>C4</f>
        <v/>
      </c>
      <c r="D164" s="171">
        <f>COUNTIFS(#REF!,"Pass",#REF!,"High")</f>
        <v/>
      </c>
      <c r="E164" s="110">
        <f>COUNTIFS(#REF!,"Fail",#REF!,"High")</f>
        <v/>
      </c>
      <c r="F164" s="110">
        <f>H164-D164-E164-G164</f>
        <v/>
      </c>
      <c r="G164" s="110">
        <f>COUNTIFS(#REF!,"Rejected",#REF!,"High")</f>
        <v/>
      </c>
      <c r="H164" s="111">
        <f>#REF!</f>
        <v/>
      </c>
      <c r="I164" s="112">
        <f>COUNTIFS(#REF!,"Pass",#REF!,"Normal")</f>
        <v/>
      </c>
      <c r="J164" s="113">
        <f>COUNTIFS(#REF!,"Fail",#REF!,"Normal")</f>
        <v/>
      </c>
      <c r="K164" s="113">
        <f>M164-I164-J164-L164</f>
        <v/>
      </c>
      <c r="L164" s="113">
        <f>COUNTIFS(#REF!,"Rejected",#REF!,"Normal")</f>
        <v/>
      </c>
      <c r="M164" s="114">
        <f>#REF!</f>
        <v/>
      </c>
      <c r="N164" s="160">
        <f>COUNTIFS(#REF!,"Pass",#REF!,"Low")</f>
        <v/>
      </c>
      <c r="O164" s="161">
        <f>COUNTIFS(#REF!,"Fail",#REF!,"Low")</f>
        <v/>
      </c>
      <c r="P164" s="161">
        <f>R164-N164-O164-Q164</f>
        <v/>
      </c>
      <c r="Q164" s="161">
        <f>COUNTIFS(#REF!,"Rejected",#REF!,"Low")</f>
        <v/>
      </c>
      <c r="R164" s="162">
        <f>#REF!</f>
        <v/>
      </c>
      <c r="S164" s="118">
        <f>H164+M164+R164</f>
        <v/>
      </c>
      <c r="T164" s="198">
        <f>#REF!</f>
        <v/>
      </c>
      <c r="U164" s="145">
        <f>#REF!</f>
        <v/>
      </c>
      <c r="V164" s="301" t="n"/>
      <c r="W164" s="289" t="n"/>
      <c r="X164" s="302" t="n"/>
    </row>
    <row r="165">
      <c r="A165" s="303" t="n"/>
      <c r="B165" s="304" t="n"/>
      <c r="C165" s="90">
        <f>C5</f>
        <v/>
      </c>
      <c r="D165" s="172">
        <f>COUNTIFS(#REF!,"Pass",#REF!,"High")</f>
        <v/>
      </c>
      <c r="E165" s="121">
        <f>COUNTIFS(#REF!,"Fail",#REF!,"High")</f>
        <v/>
      </c>
      <c r="F165" s="121">
        <f>H165-D165-E165-G165</f>
        <v/>
      </c>
      <c r="G165" s="121">
        <f>COUNTIFS(#REF!,"Rejected",#REF!,"High")</f>
        <v/>
      </c>
      <c r="H165" s="122">
        <f>$H$164</f>
        <v/>
      </c>
      <c r="I165" s="123">
        <f>COUNTIFS(#REF!,"Pass",#REF!,"Normal")</f>
        <v/>
      </c>
      <c r="J165" s="124">
        <f>COUNTIFS(#REF!,"Fail",#REF!,"Normal")</f>
        <v/>
      </c>
      <c r="K165" s="124">
        <f>M165-I165-J165-L165</f>
        <v/>
      </c>
      <c r="L165" s="124">
        <f>COUNTIFS(#REF!,"Rejected",#REF!,"Normal")</f>
        <v/>
      </c>
      <c r="M165" s="125">
        <f>$M$164</f>
        <v/>
      </c>
      <c r="N165" s="163">
        <f>COUNTIFS(#REF!,"Pass",#REF!,"Low")</f>
        <v/>
      </c>
      <c r="O165" s="164">
        <f>COUNTIFS(#REF!,"Fail",#REF!,"Low")</f>
        <v/>
      </c>
      <c r="P165" s="164">
        <f>R165-N165-O165-Q165</f>
        <v/>
      </c>
      <c r="Q165" s="164">
        <f>COUNTIFS(#REF!,"Rejected",#REF!,"Low")</f>
        <v/>
      </c>
      <c r="R165" s="168">
        <f>$R$164</f>
        <v/>
      </c>
      <c r="S165" s="129">
        <f>H165+M165+R165</f>
        <v/>
      </c>
      <c r="T165" s="304" t="n"/>
      <c r="U165" s="146">
        <f>#REF!</f>
        <v/>
      </c>
      <c r="V165" s="305" t="n"/>
      <c r="W165" s="291" t="n"/>
      <c r="X165" s="306" t="n"/>
    </row>
    <row r="166">
      <c r="A166" s="303" t="n"/>
      <c r="B166" s="304" t="n"/>
      <c r="C166" s="90">
        <f>C6</f>
        <v/>
      </c>
      <c r="D166" s="172">
        <f>COUNTIFS(#REF!,"Pass",#REF!,"High")</f>
        <v/>
      </c>
      <c r="E166" s="121">
        <f>COUNTIFS(#REF!,"Fail",#REF!,"High")</f>
        <v/>
      </c>
      <c r="F166" s="121">
        <f>H166-D166-E166-G166</f>
        <v/>
      </c>
      <c r="G166" s="121">
        <f>COUNTIFS(#REF!,"Rejected",#REF!,"High")</f>
        <v/>
      </c>
      <c r="H166" s="122">
        <f>$H$164</f>
        <v/>
      </c>
      <c r="I166" s="123">
        <f>COUNTIFS(#REF!,"Pass",#REF!,"Normal")</f>
        <v/>
      </c>
      <c r="J166" s="124">
        <f>COUNTIFS(#REF!,"Fail",#REF!,"Normal")</f>
        <v/>
      </c>
      <c r="K166" s="124">
        <f>M166-I166-J166-L166</f>
        <v/>
      </c>
      <c r="L166" s="124">
        <f>COUNTIFS(#REF!,"Rejected",#REF!,"Normal")</f>
        <v/>
      </c>
      <c r="M166" s="125">
        <f>$M$164</f>
        <v/>
      </c>
      <c r="N166" s="163">
        <f>COUNTIFS(#REF!,"Pass",#REF!,"Low")</f>
        <v/>
      </c>
      <c r="O166" s="164">
        <f>COUNTIFS(#REF!,"Fail",#REF!,"Low")</f>
        <v/>
      </c>
      <c r="P166" s="164">
        <f>R166-N166-O166-Q166</f>
        <v/>
      </c>
      <c r="Q166" s="164">
        <f>COUNTIFS(#REF!,"Rejected",#REF!,"Low")</f>
        <v/>
      </c>
      <c r="R166" s="168">
        <f>$R$164</f>
        <v/>
      </c>
      <c r="S166" s="129">
        <f>H166+M166+R166</f>
        <v/>
      </c>
      <c r="T166" s="304" t="n"/>
      <c r="U166" s="146">
        <f>#REF!</f>
        <v/>
      </c>
      <c r="V166" s="305" t="n"/>
      <c r="W166" s="291" t="n"/>
      <c r="X166" s="306" t="n"/>
    </row>
    <row r="167">
      <c r="A167" s="303" t="n"/>
      <c r="B167" s="304" t="n"/>
      <c r="C167" s="90">
        <f>C7</f>
        <v/>
      </c>
      <c r="D167" s="172">
        <f>COUNTIFS(#REF!,"Pass",#REF!,"High")</f>
        <v/>
      </c>
      <c r="E167" s="121">
        <f>COUNTIFS(#REF!,"Fail",#REF!,"High")</f>
        <v/>
      </c>
      <c r="F167" s="121">
        <f>H167-D167-E167-G167</f>
        <v/>
      </c>
      <c r="G167" s="121">
        <f>COUNTIFS(#REF!,"Rejected",#REF!,"High")</f>
        <v/>
      </c>
      <c r="H167" s="122">
        <f>$H$164</f>
        <v/>
      </c>
      <c r="I167" s="123">
        <f>COUNTIFS(#REF!,"Pass",#REF!,"Normal")</f>
        <v/>
      </c>
      <c r="J167" s="124">
        <f>COUNTIFS(#REF!,"Fail",#REF!,"Normal")</f>
        <v/>
      </c>
      <c r="K167" s="124">
        <f>M167-I167-J167-L167</f>
        <v/>
      </c>
      <c r="L167" s="124">
        <f>COUNTIFS(#REF!,"Rejected",#REF!,"Normal")</f>
        <v/>
      </c>
      <c r="M167" s="125">
        <f>$M$164</f>
        <v/>
      </c>
      <c r="N167" s="163">
        <f>COUNTIFS(#REF!,"Pass",#REF!,"Low")</f>
        <v/>
      </c>
      <c r="O167" s="164">
        <f>COUNTIFS(#REF!,"Fail",#REF!,"Low")</f>
        <v/>
      </c>
      <c r="P167" s="164">
        <f>R167-N167-O167-Q167</f>
        <v/>
      </c>
      <c r="Q167" s="164">
        <f>COUNTIFS(#REF!,"Rejected",#REF!,"Low")</f>
        <v/>
      </c>
      <c r="R167" s="168">
        <f>$R$164</f>
        <v/>
      </c>
      <c r="S167" s="129">
        <f>H167+M167+R167</f>
        <v/>
      </c>
      <c r="T167" s="304" t="n"/>
      <c r="U167" s="146">
        <f>#REF!</f>
        <v/>
      </c>
      <c r="V167" s="305" t="n"/>
      <c r="W167" s="291" t="n"/>
      <c r="X167" s="306" t="n"/>
    </row>
    <row r="168">
      <c r="A168" s="303" t="n"/>
      <c r="B168" s="304" t="n"/>
      <c r="C168" s="90">
        <f>C8</f>
        <v/>
      </c>
      <c r="D168" s="172">
        <f>COUNTIFS(#REF!,"Pass",#REF!,"High")</f>
        <v/>
      </c>
      <c r="E168" s="121">
        <f>COUNTIFS(#REF!,"Fail",#REF!,"High")</f>
        <v/>
      </c>
      <c r="F168" s="121">
        <f>H168-D168-E168-G168</f>
        <v/>
      </c>
      <c r="G168" s="121">
        <f>COUNTIFS(#REF!,"Rejected",#REF!,"High")</f>
        <v/>
      </c>
      <c r="H168" s="122">
        <f>$H$164</f>
        <v/>
      </c>
      <c r="I168" s="123">
        <f>COUNTIFS(#REF!,"Pass",#REF!,"Normal")</f>
        <v/>
      </c>
      <c r="J168" s="124">
        <f>COUNTIFS(#REF!,"Fail",#REF!,"Normal")</f>
        <v/>
      </c>
      <c r="K168" s="124">
        <f>M168-I168-J168-L168</f>
        <v/>
      </c>
      <c r="L168" s="124">
        <f>COUNTIFS(#REF!,"Rejected",#REF!,"Normal")</f>
        <v/>
      </c>
      <c r="M168" s="125">
        <f>$M$164</f>
        <v/>
      </c>
      <c r="N168" s="163">
        <f>COUNTIFS(#REF!,"Pass",#REF!,"Low")</f>
        <v/>
      </c>
      <c r="O168" s="164">
        <f>COUNTIFS(#REF!,"Fail",#REF!,"Low")</f>
        <v/>
      </c>
      <c r="P168" s="164">
        <f>R168-N168-O168-Q168</f>
        <v/>
      </c>
      <c r="Q168" s="164">
        <f>COUNTIFS(#REF!,"Rejected",#REF!,"Low")</f>
        <v/>
      </c>
      <c r="R168" s="168">
        <f>$R$164</f>
        <v/>
      </c>
      <c r="S168" s="129">
        <f>H168+M168+R168</f>
        <v/>
      </c>
      <c r="T168" s="304" t="n"/>
      <c r="U168" s="146">
        <f>#REF!</f>
        <v/>
      </c>
      <c r="V168" s="305" t="n"/>
      <c r="W168" s="291" t="n"/>
      <c r="X168" s="306" t="n"/>
    </row>
    <row r="169" ht="11" customHeight="1" thickBot="1">
      <c r="A169" s="298" t="n"/>
      <c r="B169" s="293" t="n"/>
      <c r="C169" s="173">
        <f>C9</f>
        <v/>
      </c>
      <c r="D169" s="172">
        <f>COUNTIFS(#REF!,"Pass",#REF!,"High")</f>
        <v/>
      </c>
      <c r="E169" s="121">
        <f>COUNTIFS(#REF!,"Fail",#REF!,"High")</f>
        <v/>
      </c>
      <c r="F169" s="121">
        <f>H169-D169-E169-G169</f>
        <v/>
      </c>
      <c r="G169" s="121">
        <f>COUNTIFS(#REF!,"Rejected",#REF!,"High")</f>
        <v/>
      </c>
      <c r="H169" s="122">
        <f>$H$164</f>
        <v/>
      </c>
      <c r="I169" s="123">
        <f>COUNTIFS(#REF!,"Pass",#REF!,"Normal")</f>
        <v/>
      </c>
      <c r="J169" s="124">
        <f>COUNTIFS(#REF!,"Fail",#REF!,"Normal")</f>
        <v/>
      </c>
      <c r="K169" s="124">
        <f>M169-I169-J169-L169</f>
        <v/>
      </c>
      <c r="L169" s="124">
        <f>COUNTIFS(#REF!,"Rejected",#REF!,"Normal")</f>
        <v/>
      </c>
      <c r="M169" s="125">
        <f>$M$164</f>
        <v/>
      </c>
      <c r="N169" s="163">
        <f>COUNTIFS(#REF!,"Pass",#REF!,"Low")</f>
        <v/>
      </c>
      <c r="O169" s="164">
        <f>COUNTIFS(#REF!,"Fail",#REF!,"Low")</f>
        <v/>
      </c>
      <c r="P169" s="164">
        <f>R169-N169-O169-Q169</f>
        <v/>
      </c>
      <c r="Q169" s="164">
        <f>COUNTIFS(#REF!,"Rejected",#REF!,"Low")</f>
        <v/>
      </c>
      <c r="R169" s="168">
        <f>$R$164</f>
        <v/>
      </c>
      <c r="S169" s="140">
        <f>H169+M169+R169</f>
        <v/>
      </c>
      <c r="T169" s="293" t="n"/>
      <c r="U169" s="147">
        <f>#REF!</f>
        <v/>
      </c>
      <c r="V169" s="307" t="n"/>
      <c r="W169" s="294" t="n"/>
      <c r="X169" s="308" t="n"/>
    </row>
    <row r="170">
      <c r="A170" s="192" t="n">
        <v>5</v>
      </c>
      <c r="B170" s="195">
        <f>B122</f>
        <v/>
      </c>
      <c r="C170" s="170">
        <f>C4</f>
        <v/>
      </c>
      <c r="D170" s="171">
        <f>COUNTIFS(#REF!,"Pass",#REF!,"High")</f>
        <v/>
      </c>
      <c r="E170" s="110">
        <f>COUNTIFS(#REF!,"Fail",#REF!,"High")</f>
        <v/>
      </c>
      <c r="F170" s="110">
        <f>H170-D170-E170-G170</f>
        <v/>
      </c>
      <c r="G170" s="110">
        <f>COUNTIFS(#REF!,"Rejected",#REF!,"High")</f>
        <v/>
      </c>
      <c r="H170" s="111">
        <f>#REF!</f>
        <v/>
      </c>
      <c r="I170" s="112">
        <f>COUNTIFS(#REF!,"Pass",#REF!,"Normal")</f>
        <v/>
      </c>
      <c r="J170" s="113">
        <f>COUNTIFS(#REF!,"Fail",#REF!,"Normal")</f>
        <v/>
      </c>
      <c r="K170" s="113">
        <f>M170-I170-J170-L170</f>
        <v/>
      </c>
      <c r="L170" s="113">
        <f>COUNTIFS(#REF!,"Rejected",#REF!,"Normal")</f>
        <v/>
      </c>
      <c r="M170" s="114">
        <f>#REF!</f>
        <v/>
      </c>
      <c r="N170" s="160">
        <f>COUNTIFS(#REF!,"Pass",#REF!,"Low")</f>
        <v/>
      </c>
      <c r="O170" s="161">
        <f>COUNTIFS(#REF!,"Fail",#REF!,"Low")</f>
        <v/>
      </c>
      <c r="P170" s="161">
        <f>R170-N170-O170-Q170</f>
        <v/>
      </c>
      <c r="Q170" s="161">
        <f>COUNTIFS(#REF!,"Rejected",#REF!,"Low")</f>
        <v/>
      </c>
      <c r="R170" s="162">
        <f>#REF!</f>
        <v/>
      </c>
      <c r="S170" s="118">
        <f>H170+M170+R170</f>
        <v/>
      </c>
      <c r="T170" s="198">
        <f>#REF!</f>
        <v/>
      </c>
      <c r="U170" s="145">
        <f>#REF!</f>
        <v/>
      </c>
      <c r="V170" s="301" t="n"/>
      <c r="W170" s="289" t="n"/>
      <c r="X170" s="302" t="n"/>
    </row>
    <row r="171">
      <c r="A171" s="303" t="n"/>
      <c r="B171" s="304" t="n"/>
      <c r="C171" s="90">
        <f>C5</f>
        <v/>
      </c>
      <c r="D171" s="172">
        <f>COUNTIFS(#REF!,"Pass",#REF!,"High")</f>
        <v/>
      </c>
      <c r="E171" s="121">
        <f>COUNTIFS(#REF!,"Fail",#REF!,"High")</f>
        <v/>
      </c>
      <c r="F171" s="121">
        <f>H171-D171-E171-G171</f>
        <v/>
      </c>
      <c r="G171" s="121">
        <f>COUNTIFS(#REF!,"Rejected",#REF!,"High")</f>
        <v/>
      </c>
      <c r="H171" s="122">
        <f>$H$170</f>
        <v/>
      </c>
      <c r="I171" s="123">
        <f>COUNTIFS(#REF!,"Pass",#REF!,"Normal")</f>
        <v/>
      </c>
      <c r="J171" s="124">
        <f>COUNTIFS(#REF!,"Fail",#REF!,"Normal")</f>
        <v/>
      </c>
      <c r="K171" s="124">
        <f>M171-I171-J171-L171</f>
        <v/>
      </c>
      <c r="L171" s="124">
        <f>COUNTIFS(#REF!,"Rejected",#REF!,"Normal")</f>
        <v/>
      </c>
      <c r="M171" s="125">
        <f>$M$170</f>
        <v/>
      </c>
      <c r="N171" s="163">
        <f>COUNTIFS(#REF!,"Pass",#REF!,"Low")</f>
        <v/>
      </c>
      <c r="O171" s="164">
        <f>COUNTIFS(#REF!,"Fail",#REF!,"Low")</f>
        <v/>
      </c>
      <c r="P171" s="164">
        <f>R171-N171-O171-Q171</f>
        <v/>
      </c>
      <c r="Q171" s="164">
        <f>COUNTIFS(#REF!,"Rejected",#REF!,"Low")</f>
        <v/>
      </c>
      <c r="R171" s="168">
        <f>$R$170</f>
        <v/>
      </c>
      <c r="S171" s="129">
        <f>H171+M171+R171</f>
        <v/>
      </c>
      <c r="T171" s="304" t="n"/>
      <c r="U171" s="146">
        <f>#REF!</f>
        <v/>
      </c>
      <c r="V171" s="305" t="n"/>
      <c r="W171" s="291" t="n"/>
      <c r="X171" s="306" t="n"/>
    </row>
    <row r="172">
      <c r="A172" s="303" t="n"/>
      <c r="B172" s="304" t="n"/>
      <c r="C172" s="90">
        <f>C6</f>
        <v/>
      </c>
      <c r="D172" s="172">
        <f>COUNTIFS(#REF!,"Pass",#REF!,"High")</f>
        <v/>
      </c>
      <c r="E172" s="121">
        <f>COUNTIFS(#REF!,"Fail",#REF!,"High")</f>
        <v/>
      </c>
      <c r="F172" s="121">
        <f>H172-D172-E172-G172</f>
        <v/>
      </c>
      <c r="G172" s="121">
        <f>COUNTIFS(#REF!,"Rejected",#REF!,"High")</f>
        <v/>
      </c>
      <c r="H172" s="122">
        <f>$H$170</f>
        <v/>
      </c>
      <c r="I172" s="123">
        <f>COUNTIFS(#REF!,"Pass",#REF!,"Normal")</f>
        <v/>
      </c>
      <c r="J172" s="124">
        <f>COUNTIFS(#REF!,"Fail",#REF!,"Normal")</f>
        <v/>
      </c>
      <c r="K172" s="124">
        <f>M172-I172-J172-L172</f>
        <v/>
      </c>
      <c r="L172" s="124">
        <f>COUNTIFS(#REF!,"Rejected",#REF!,"Normal")</f>
        <v/>
      </c>
      <c r="M172" s="125">
        <f>$M$170</f>
        <v/>
      </c>
      <c r="N172" s="163">
        <f>COUNTIFS(#REF!,"Pass",#REF!,"Low")</f>
        <v/>
      </c>
      <c r="O172" s="164">
        <f>COUNTIFS(#REF!,"Fail",#REF!,"Low")</f>
        <v/>
      </c>
      <c r="P172" s="164">
        <f>R172-N172-O172-Q172</f>
        <v/>
      </c>
      <c r="Q172" s="164">
        <f>COUNTIFS(#REF!,"Rejected",#REF!,"Low")</f>
        <v/>
      </c>
      <c r="R172" s="168">
        <f>$R$170</f>
        <v/>
      </c>
      <c r="S172" s="129">
        <f>H172+M172+R172</f>
        <v/>
      </c>
      <c r="T172" s="304" t="n"/>
      <c r="U172" s="146">
        <f>#REF!</f>
        <v/>
      </c>
      <c r="V172" s="305" t="n"/>
      <c r="W172" s="291" t="n"/>
      <c r="X172" s="306" t="n"/>
    </row>
    <row r="173">
      <c r="A173" s="303" t="n"/>
      <c r="B173" s="304" t="n"/>
      <c r="C173" s="90">
        <f>C7</f>
        <v/>
      </c>
      <c r="D173" s="172">
        <f>COUNTIFS(#REF!,"Pass",#REF!,"High")</f>
        <v/>
      </c>
      <c r="E173" s="121">
        <f>COUNTIFS(#REF!,"Fail",#REF!,"High")</f>
        <v/>
      </c>
      <c r="F173" s="121">
        <f>H173-D173-E173-G173</f>
        <v/>
      </c>
      <c r="G173" s="121">
        <f>COUNTIFS(#REF!,"Rejected",#REF!,"High")</f>
        <v/>
      </c>
      <c r="H173" s="122">
        <f>$H$170</f>
        <v/>
      </c>
      <c r="I173" s="123">
        <f>COUNTIFS(#REF!,"Pass",#REF!,"Normal")</f>
        <v/>
      </c>
      <c r="J173" s="124">
        <f>COUNTIFS(#REF!,"Fail",#REF!,"Normal")</f>
        <v/>
      </c>
      <c r="K173" s="124">
        <f>M173-I173-J173-L173</f>
        <v/>
      </c>
      <c r="L173" s="124">
        <f>COUNTIFS(#REF!,"Rejected",#REF!,"Normal")</f>
        <v/>
      </c>
      <c r="M173" s="125">
        <f>$M$170</f>
        <v/>
      </c>
      <c r="N173" s="163">
        <f>COUNTIFS(#REF!,"Pass",#REF!,"Low")</f>
        <v/>
      </c>
      <c r="O173" s="164">
        <f>COUNTIFS(#REF!,"Fail",#REF!,"Low")</f>
        <v/>
      </c>
      <c r="P173" s="164">
        <f>R173-N173-O173-Q173</f>
        <v/>
      </c>
      <c r="Q173" s="164">
        <f>COUNTIFS(#REF!,"Rejected",#REF!,"Low")</f>
        <v/>
      </c>
      <c r="R173" s="168">
        <f>$R$170</f>
        <v/>
      </c>
      <c r="S173" s="129">
        <f>H173+M173+R173</f>
        <v/>
      </c>
      <c r="T173" s="304" t="n"/>
      <c r="U173" s="146">
        <f>#REF!</f>
        <v/>
      </c>
      <c r="V173" s="305" t="n"/>
      <c r="W173" s="291" t="n"/>
      <c r="X173" s="306" t="n"/>
    </row>
    <row r="174">
      <c r="A174" s="303" t="n"/>
      <c r="B174" s="304" t="n"/>
      <c r="C174" s="90">
        <f>C8</f>
        <v/>
      </c>
      <c r="D174" s="172">
        <f>COUNTIFS(#REF!,"Pass",#REF!,"High")</f>
        <v/>
      </c>
      <c r="E174" s="121">
        <f>COUNTIFS(#REF!,"Fail",#REF!,"High")</f>
        <v/>
      </c>
      <c r="F174" s="121">
        <f>H174-D174-E174-G174</f>
        <v/>
      </c>
      <c r="G174" s="121">
        <f>COUNTIFS(#REF!,"Rejected",#REF!,"High")</f>
        <v/>
      </c>
      <c r="H174" s="122">
        <f>$H$170</f>
        <v/>
      </c>
      <c r="I174" s="123">
        <f>COUNTIFS(#REF!,"Pass",#REF!,"Normal")</f>
        <v/>
      </c>
      <c r="J174" s="124">
        <f>COUNTIFS(#REF!,"Fail",#REF!,"Normal")</f>
        <v/>
      </c>
      <c r="K174" s="124">
        <f>M174-I174-J174-L174</f>
        <v/>
      </c>
      <c r="L174" s="124">
        <f>COUNTIFS(#REF!,"Rejected",#REF!,"Normal")</f>
        <v/>
      </c>
      <c r="M174" s="125">
        <f>$M$170</f>
        <v/>
      </c>
      <c r="N174" s="163">
        <f>COUNTIFS(#REF!,"Pass",#REF!,"Low")</f>
        <v/>
      </c>
      <c r="O174" s="164">
        <f>COUNTIFS(#REF!,"Fail",#REF!,"Low")</f>
        <v/>
      </c>
      <c r="P174" s="164">
        <f>R174-N174-O174-Q174</f>
        <v/>
      </c>
      <c r="Q174" s="164">
        <f>COUNTIFS(#REF!,"Rejected",#REF!,"Low")</f>
        <v/>
      </c>
      <c r="R174" s="168">
        <f>$R$170</f>
        <v/>
      </c>
      <c r="S174" s="129">
        <f>H174+M174+R174</f>
        <v/>
      </c>
      <c r="T174" s="304" t="n"/>
      <c r="U174" s="146">
        <f>#REF!</f>
        <v/>
      </c>
      <c r="V174" s="305" t="n"/>
      <c r="W174" s="291" t="n"/>
      <c r="X174" s="306" t="n"/>
    </row>
    <row r="175" ht="11" customHeight="1" thickBot="1">
      <c r="A175" s="298" t="n"/>
      <c r="B175" s="293" t="n"/>
      <c r="C175" s="173">
        <f>C9</f>
        <v/>
      </c>
      <c r="D175" s="174">
        <f>COUNTIFS(#REF!,"Pass",#REF!,"High")</f>
        <v/>
      </c>
      <c r="E175" s="134">
        <f>COUNTIFS(#REF!,"Fail",#REF!,"High")</f>
        <v/>
      </c>
      <c r="F175" s="134">
        <f>H175-D175-E175-G175</f>
        <v/>
      </c>
      <c r="G175" s="134">
        <f>COUNTIFS(#REF!,"Rejected",#REF!,"High")</f>
        <v/>
      </c>
      <c r="H175" s="135">
        <f>H174</f>
        <v/>
      </c>
      <c r="I175" s="136">
        <f>COUNTIFS(#REF!,"Pass",#REF!,"Normal")</f>
        <v/>
      </c>
      <c r="J175" s="137">
        <f>COUNTIFS(#REF!,"Fail",#REF!,"Normal")</f>
        <v/>
      </c>
      <c r="K175" s="137">
        <f>M175-I175-J175-L175</f>
        <v/>
      </c>
      <c r="L175" s="137">
        <f>COUNTIFS(#REF!,"Rejected",#REF!,"Normal")</f>
        <v/>
      </c>
      <c r="M175" s="125">
        <f>$M$170</f>
        <v/>
      </c>
      <c r="N175" s="166">
        <f>COUNTIFS(#REF!,"Pass",#REF!,"Low")</f>
        <v/>
      </c>
      <c r="O175" s="167">
        <f>COUNTIFS(#REF!,"Fail",#REF!,"Low")</f>
        <v/>
      </c>
      <c r="P175" s="167">
        <f>R175-N175-O175-Q175</f>
        <v/>
      </c>
      <c r="Q175" s="167">
        <f>COUNTIFS(#REF!,"Rejected",#REF!,"Low")</f>
        <v/>
      </c>
      <c r="R175" s="168">
        <f>$R$170</f>
        <v/>
      </c>
      <c r="S175" s="140">
        <f>H175+M175+R175</f>
        <v/>
      </c>
      <c r="T175" s="293" t="n"/>
      <c r="U175" s="147">
        <f>#REF!</f>
        <v/>
      </c>
      <c r="V175" s="307" t="n"/>
      <c r="W175" s="294" t="n"/>
      <c r="X175" s="308" t="n"/>
    </row>
    <row r="176">
      <c r="A176" s="192" t="n">
        <v>6</v>
      </c>
      <c r="B176" s="195">
        <f>B128</f>
        <v/>
      </c>
      <c r="C176" s="170">
        <f>C4</f>
        <v/>
      </c>
      <c r="D176" s="171">
        <f>COUNTIFS(#REF!,"Pass",#REF!,"High")</f>
        <v/>
      </c>
      <c r="E176" s="110">
        <f>COUNTIFS(#REF!,"Fail",#REF!,"High")</f>
        <v/>
      </c>
      <c r="F176" s="110">
        <f>H176-D176-E176-G176</f>
        <v/>
      </c>
      <c r="G176" s="110">
        <f>COUNTIFS(#REF!,"Rejected",#REF!,"High")</f>
        <v/>
      </c>
      <c r="H176" s="111">
        <f>#REF!</f>
        <v/>
      </c>
      <c r="I176" s="112">
        <f>COUNTIFS(#REF!,"Pass",#REF!,"Normal")</f>
        <v/>
      </c>
      <c r="J176" s="113">
        <f>COUNTIFS(#REF!,"Fail",#REF!,"Normal")</f>
        <v/>
      </c>
      <c r="K176" s="113">
        <f>M176-I176-J176-L176</f>
        <v/>
      </c>
      <c r="L176" s="113">
        <f>COUNTIFS(#REF!,"Rejected",#REF!,"Normal")</f>
        <v/>
      </c>
      <c r="M176" s="114">
        <f>#REF!</f>
        <v/>
      </c>
      <c r="N176" s="160">
        <f>COUNTIFS(#REF!,"Pass",#REF!,"Low")</f>
        <v/>
      </c>
      <c r="O176" s="161">
        <f>COUNTIFS(#REF!,"Fail",#REF!,"Low")</f>
        <v/>
      </c>
      <c r="P176" s="161">
        <f>R176-N176-O176-Q176</f>
        <v/>
      </c>
      <c r="Q176" s="161">
        <f>COUNTIFS(#REF!,"Rejected",#REF!,"Low")</f>
        <v/>
      </c>
      <c r="R176" s="162">
        <f>#REF!</f>
        <v/>
      </c>
      <c r="S176" s="118">
        <f>H176+M176+R176</f>
        <v/>
      </c>
      <c r="T176" s="198">
        <f>#REF!</f>
        <v/>
      </c>
      <c r="U176" s="145">
        <f>#REF!</f>
        <v/>
      </c>
      <c r="V176" s="301" t="n"/>
      <c r="W176" s="289" t="n"/>
      <c r="X176" s="302" t="n"/>
    </row>
    <row r="177">
      <c r="A177" s="303" t="n"/>
      <c r="B177" s="304" t="n"/>
      <c r="C177" s="90">
        <f>C5</f>
        <v/>
      </c>
      <c r="D177" s="172">
        <f>COUNTIFS(#REF!,"Pass",#REF!,"High")</f>
        <v/>
      </c>
      <c r="E177" s="121">
        <f>COUNTIFS(#REF!,"Fail",#REF!,"High")</f>
        <v/>
      </c>
      <c r="F177" s="121">
        <f>H177-D177-E177-G177</f>
        <v/>
      </c>
      <c r="G177" s="121">
        <f>COUNTIFS(#REF!,"Rejected",#REF!,"High")</f>
        <v/>
      </c>
      <c r="H177" s="122">
        <f>$H$176</f>
        <v/>
      </c>
      <c r="I177" s="123">
        <f>COUNTIFS(#REF!,"Pass",#REF!,"Normal")</f>
        <v/>
      </c>
      <c r="J177" s="124">
        <f>COUNTIFS(#REF!,"Fail",#REF!,"Normal")</f>
        <v/>
      </c>
      <c r="K177" s="124">
        <f>M177-I177-J177-L177</f>
        <v/>
      </c>
      <c r="L177" s="124">
        <f>COUNTIFS(#REF!,"Rejected",#REF!,"Normal")</f>
        <v/>
      </c>
      <c r="M177" s="125">
        <f>$M$176</f>
        <v/>
      </c>
      <c r="N177" s="163">
        <f>COUNTIFS(#REF!,"Pass",#REF!,"Low")</f>
        <v/>
      </c>
      <c r="O177" s="164">
        <f>COUNTIFS(#REF!,"Fail",#REF!,"Low")</f>
        <v/>
      </c>
      <c r="P177" s="164">
        <f>R177-N177-O177-Q177</f>
        <v/>
      </c>
      <c r="Q177" s="164">
        <f>COUNTIFS(#REF!,"Rejected",#REF!,"Low")</f>
        <v/>
      </c>
      <c r="R177" s="168">
        <f>$R$176</f>
        <v/>
      </c>
      <c r="S177" s="129">
        <f>H177+M177+R177</f>
        <v/>
      </c>
      <c r="T177" s="304" t="n"/>
      <c r="U177" s="146">
        <f>#REF!</f>
        <v/>
      </c>
      <c r="V177" s="305" t="n"/>
      <c r="W177" s="291" t="n"/>
      <c r="X177" s="306" t="n"/>
    </row>
    <row r="178">
      <c r="A178" s="303" t="n"/>
      <c r="B178" s="304" t="n"/>
      <c r="C178" s="90">
        <f>C6</f>
        <v/>
      </c>
      <c r="D178" s="172">
        <f>COUNTIFS(#REF!,"Pass",#REF!,"High")</f>
        <v/>
      </c>
      <c r="E178" s="121">
        <f>COUNTIFS(#REF!,"Fail",#REF!,"High")</f>
        <v/>
      </c>
      <c r="F178" s="121">
        <f>H178-D178-E178-G178</f>
        <v/>
      </c>
      <c r="G178" s="121">
        <f>COUNTIFS(#REF!,"Rejected",#REF!,"High")</f>
        <v/>
      </c>
      <c r="H178" s="122">
        <f>$H$176</f>
        <v/>
      </c>
      <c r="I178" s="123">
        <f>COUNTIFS(#REF!,"Pass",#REF!,"Normal")</f>
        <v/>
      </c>
      <c r="J178" s="124">
        <f>COUNTIFS(#REF!,"Fail",#REF!,"Normal")</f>
        <v/>
      </c>
      <c r="K178" s="124">
        <f>M178-I178-J178-L178</f>
        <v/>
      </c>
      <c r="L178" s="124">
        <f>COUNTIFS(#REF!,"Rejected",#REF!,"Normal")</f>
        <v/>
      </c>
      <c r="M178" s="125">
        <f>$M$176</f>
        <v/>
      </c>
      <c r="N178" s="163">
        <f>COUNTIFS(#REF!,"Pass",#REF!,"Low")</f>
        <v/>
      </c>
      <c r="O178" s="164">
        <f>COUNTIFS(#REF!,"Fail",#REF!,"Low")</f>
        <v/>
      </c>
      <c r="P178" s="164">
        <f>R178-N178-O178-Q178</f>
        <v/>
      </c>
      <c r="Q178" s="164">
        <f>COUNTIFS(#REF!,"Rejected",#REF!,"Low")</f>
        <v/>
      </c>
      <c r="R178" s="168">
        <f>$R$176</f>
        <v/>
      </c>
      <c r="S178" s="129">
        <f>H178+M178+R178</f>
        <v/>
      </c>
      <c r="T178" s="304" t="n"/>
      <c r="U178" s="146">
        <f>#REF!</f>
        <v/>
      </c>
      <c r="V178" s="305" t="n"/>
      <c r="W178" s="291" t="n"/>
      <c r="X178" s="306" t="n"/>
    </row>
    <row r="179">
      <c r="A179" s="303" t="n"/>
      <c r="B179" s="304" t="n"/>
      <c r="C179" s="90">
        <f>C7</f>
        <v/>
      </c>
      <c r="D179" s="172">
        <f>COUNTIFS(#REF!,"Pass",#REF!,"High")</f>
        <v/>
      </c>
      <c r="E179" s="121">
        <f>COUNTIFS(#REF!,"Fail",#REF!,"High")</f>
        <v/>
      </c>
      <c r="F179" s="121">
        <f>H179-D179-E179-G179</f>
        <v/>
      </c>
      <c r="G179" s="121">
        <f>COUNTIFS(#REF!,"Rejected",#REF!,"High")</f>
        <v/>
      </c>
      <c r="H179" s="122">
        <f>$H$176</f>
        <v/>
      </c>
      <c r="I179" s="123">
        <f>COUNTIFS(#REF!,"Pass",#REF!,"Normal")</f>
        <v/>
      </c>
      <c r="J179" s="124">
        <f>COUNTIFS(#REF!,"Fail",#REF!,"Normal")</f>
        <v/>
      </c>
      <c r="K179" s="124">
        <f>M179-I179-J179-L179</f>
        <v/>
      </c>
      <c r="L179" s="124">
        <f>COUNTIFS(#REF!,"Rejected",#REF!,"Normal")</f>
        <v/>
      </c>
      <c r="M179" s="125">
        <f>$M$176</f>
        <v/>
      </c>
      <c r="N179" s="163">
        <f>COUNTIFS(#REF!,"Pass",#REF!,"Low")</f>
        <v/>
      </c>
      <c r="O179" s="164">
        <f>COUNTIFS(#REF!,"Fail",#REF!,"Low")</f>
        <v/>
      </c>
      <c r="P179" s="164">
        <f>R179-N179-O179-Q179</f>
        <v/>
      </c>
      <c r="Q179" s="164">
        <f>COUNTIFS(#REF!,"Rejected",#REF!,"Low")</f>
        <v/>
      </c>
      <c r="R179" s="168">
        <f>$R$176</f>
        <v/>
      </c>
      <c r="S179" s="129">
        <f>H179+M179+R179</f>
        <v/>
      </c>
      <c r="T179" s="304" t="n"/>
      <c r="U179" s="146">
        <f>#REF!</f>
        <v/>
      </c>
      <c r="V179" s="305" t="n"/>
      <c r="W179" s="291" t="n"/>
      <c r="X179" s="306" t="n"/>
    </row>
    <row r="180">
      <c r="A180" s="303" t="n"/>
      <c r="B180" s="304" t="n"/>
      <c r="C180" s="90">
        <f>C8</f>
        <v/>
      </c>
      <c r="D180" s="172">
        <f>COUNTIFS(#REF!,"Pass",#REF!,"High")</f>
        <v/>
      </c>
      <c r="E180" s="121">
        <f>COUNTIFS(#REF!,"Fail",#REF!,"High")</f>
        <v/>
      </c>
      <c r="F180" s="121">
        <f>H180-D180-E180-G180</f>
        <v/>
      </c>
      <c r="G180" s="121">
        <f>COUNTIFS(#REF!,"Rejected",#REF!,"High")</f>
        <v/>
      </c>
      <c r="H180" s="122">
        <f>$H$176</f>
        <v/>
      </c>
      <c r="I180" s="123">
        <f>COUNTIFS(#REF!,"Pass",#REF!,"Normal")</f>
        <v/>
      </c>
      <c r="J180" s="124">
        <f>COUNTIFS(#REF!,"Fail",#REF!,"Normal")</f>
        <v/>
      </c>
      <c r="K180" s="124">
        <f>M180-I180-J180-L180</f>
        <v/>
      </c>
      <c r="L180" s="124">
        <f>COUNTIFS(#REF!,"Rejected",#REF!,"Normal")</f>
        <v/>
      </c>
      <c r="M180" s="125">
        <f>$M$176</f>
        <v/>
      </c>
      <c r="N180" s="163">
        <f>COUNTIFS(#REF!,"Pass",#REF!,"Low")</f>
        <v/>
      </c>
      <c r="O180" s="164">
        <f>COUNTIFS(#REF!,"Fail",#REF!,"Low")</f>
        <v/>
      </c>
      <c r="P180" s="164">
        <f>R180-N180-O180-Q180</f>
        <v/>
      </c>
      <c r="Q180" s="164">
        <f>COUNTIFS(#REF!,"Rejected",#REF!,"Low")</f>
        <v/>
      </c>
      <c r="R180" s="168">
        <f>$R$176</f>
        <v/>
      </c>
      <c r="S180" s="129">
        <f>H180+M180+R180</f>
        <v/>
      </c>
      <c r="T180" s="304" t="n"/>
      <c r="U180" s="146">
        <f>#REF!</f>
        <v/>
      </c>
      <c r="V180" s="305" t="n"/>
      <c r="W180" s="291" t="n"/>
      <c r="X180" s="306" t="n"/>
    </row>
    <row r="181" ht="11" customHeight="1" thickBot="1">
      <c r="A181" s="298" t="n"/>
      <c r="B181" s="293" t="n"/>
      <c r="C181" s="173">
        <f>C9</f>
        <v/>
      </c>
      <c r="D181" s="174">
        <f>COUNTIFS(#REF!,"Pass",#REF!,"High")</f>
        <v/>
      </c>
      <c r="E181" s="134">
        <f>COUNTIFS(#REF!,"Fail",#REF!,"High")</f>
        <v/>
      </c>
      <c r="F181" s="134">
        <f>H181-D181-E181-G181</f>
        <v/>
      </c>
      <c r="G181" s="134">
        <f>COUNTIFS(#REF!,"Rejected",#REF!,"High")</f>
        <v/>
      </c>
      <c r="H181" s="122">
        <f>$H$176</f>
        <v/>
      </c>
      <c r="I181" s="136">
        <f>COUNTIFS(#REF!,"Pass",#REF!,"Normal")</f>
        <v/>
      </c>
      <c r="J181" s="137">
        <f>COUNTIFS(#REF!,"Fail",#REF!,"Normal")</f>
        <v/>
      </c>
      <c r="K181" s="137">
        <f>M181-I181-J181-L181</f>
        <v/>
      </c>
      <c r="L181" s="137">
        <f>COUNTIFS(#REF!,"Rejected",#REF!,"Normal")</f>
        <v/>
      </c>
      <c r="M181" s="125">
        <f>$M$176</f>
        <v/>
      </c>
      <c r="N181" s="166">
        <f>COUNTIFS(#REF!,"Pass",#REF!,"Low")</f>
        <v/>
      </c>
      <c r="O181" s="167">
        <f>COUNTIFS(#REF!,"Fail",#REF!,"Low")</f>
        <v/>
      </c>
      <c r="P181" s="167">
        <f>R181-N181-O181-Q181</f>
        <v/>
      </c>
      <c r="Q181" s="167">
        <f>COUNTIFS(#REF!,"Rejected",#REF!,"Low")</f>
        <v/>
      </c>
      <c r="R181" s="168">
        <f>$R$176</f>
        <v/>
      </c>
      <c r="S181" s="140">
        <f>H181+M181+R181</f>
        <v/>
      </c>
      <c r="T181" s="293" t="n"/>
      <c r="U181" s="147">
        <f>#REF!</f>
        <v/>
      </c>
      <c r="V181" s="307" t="n"/>
      <c r="W181" s="294" t="n"/>
      <c r="X181" s="308" t="n"/>
    </row>
    <row r="182">
      <c r="A182" s="192" t="n">
        <v>7</v>
      </c>
      <c r="B182" s="195">
        <f>B134</f>
        <v/>
      </c>
      <c r="C182" s="170">
        <f>C4</f>
        <v/>
      </c>
      <c r="D182" s="171">
        <f>COUNTIFS(#REF!,"Pass",#REF!,"High")</f>
        <v/>
      </c>
      <c r="E182" s="110">
        <f>COUNTIFS(#REF!,"Fail",#REF!,"High")</f>
        <v/>
      </c>
      <c r="F182" s="110">
        <f>H182-D182-E182-G182</f>
        <v/>
      </c>
      <c r="G182" s="110">
        <f>COUNTIFS(#REF!,"Rejected",#REF!,"High")</f>
        <v/>
      </c>
      <c r="H182" s="111">
        <f>#REF!</f>
        <v/>
      </c>
      <c r="I182" s="112">
        <f>COUNTIFS(#REF!,"Pass",#REF!,"Normal")</f>
        <v/>
      </c>
      <c r="J182" s="113">
        <f>COUNTIFS(#REF!,"Fail",#REF!,"Normal")</f>
        <v/>
      </c>
      <c r="K182" s="113">
        <f>M182-I182-J182-L182</f>
        <v/>
      </c>
      <c r="L182" s="113">
        <f>COUNTIFS(#REF!,"Rejected",#REF!,"Normal")</f>
        <v/>
      </c>
      <c r="M182" s="114">
        <f>#REF!</f>
        <v/>
      </c>
      <c r="N182" s="160">
        <f>COUNTIFS(#REF!,"Pass",#REF!,"Low")</f>
        <v/>
      </c>
      <c r="O182" s="161">
        <f>COUNTIFS(#REF!,"Fail",#REF!,"Low")</f>
        <v/>
      </c>
      <c r="P182" s="161">
        <f>R182-N182-O182-Q182</f>
        <v/>
      </c>
      <c r="Q182" s="161">
        <f>COUNTIFS(#REF!,"Rejected",#REF!,"Low")</f>
        <v/>
      </c>
      <c r="R182" s="162">
        <f>#REF!</f>
        <v/>
      </c>
      <c r="S182" s="118">
        <f>H182+M182+R182</f>
        <v/>
      </c>
      <c r="T182" s="198">
        <f>#REF!</f>
        <v/>
      </c>
      <c r="U182" s="145">
        <f>#REF!</f>
        <v/>
      </c>
      <c r="V182" s="301" t="n"/>
      <c r="W182" s="289" t="n"/>
      <c r="X182" s="302" t="n"/>
    </row>
    <row r="183">
      <c r="A183" s="303" t="n"/>
      <c r="B183" s="304" t="n"/>
      <c r="C183" s="90">
        <f>C5</f>
        <v/>
      </c>
      <c r="D183" s="172">
        <f>COUNTIFS(#REF!,"Pass",#REF!,"High")</f>
        <v/>
      </c>
      <c r="E183" s="121">
        <f>COUNTIFS(#REF!,"Fail",#REF!,"High")</f>
        <v/>
      </c>
      <c r="F183" s="121">
        <f>H183-D183-E183-G183</f>
        <v/>
      </c>
      <c r="G183" s="121">
        <f>COUNTIFS(#REF!,"Rejected",#REF!,"High")</f>
        <v/>
      </c>
      <c r="H183" s="122">
        <f>$H$182</f>
        <v/>
      </c>
      <c r="I183" s="123">
        <f>COUNTIFS(#REF!,"Pass",#REF!,"Normal")</f>
        <v/>
      </c>
      <c r="J183" s="124">
        <f>COUNTIFS(#REF!,"Fail",#REF!,"Normal")</f>
        <v/>
      </c>
      <c r="K183" s="124">
        <f>M183-I183-J183-L183</f>
        <v/>
      </c>
      <c r="L183" s="124">
        <f>COUNTIFS(#REF!,"Rejected",#REF!,"Normal")</f>
        <v/>
      </c>
      <c r="M183" s="125">
        <f>$M$182</f>
        <v/>
      </c>
      <c r="N183" s="163">
        <f>COUNTIFS(#REF!,"Pass",#REF!,"Low")</f>
        <v/>
      </c>
      <c r="O183" s="164">
        <f>COUNTIFS(#REF!,"Fail",#REF!,"Low")</f>
        <v/>
      </c>
      <c r="P183" s="164">
        <f>R183-N183-O183-Q183</f>
        <v/>
      </c>
      <c r="Q183" s="164">
        <f>COUNTIFS(#REF!,"Rejected",#REF!,"Low")</f>
        <v/>
      </c>
      <c r="R183" s="168">
        <f>$R$182</f>
        <v/>
      </c>
      <c r="S183" s="129">
        <f>H183+M183+R183</f>
        <v/>
      </c>
      <c r="T183" s="304" t="n"/>
      <c r="U183" s="146">
        <f>#REF!</f>
        <v/>
      </c>
      <c r="V183" s="305" t="n"/>
      <c r="W183" s="291" t="n"/>
      <c r="X183" s="306" t="n"/>
    </row>
    <row r="184">
      <c r="A184" s="303" t="n"/>
      <c r="B184" s="304" t="n"/>
      <c r="C184" s="90">
        <f>C6</f>
        <v/>
      </c>
      <c r="D184" s="172">
        <f>COUNTIFS(#REF!,"Pass",#REF!,"High")</f>
        <v/>
      </c>
      <c r="E184" s="121">
        <f>COUNTIFS(#REF!,"Fail",#REF!,"High")</f>
        <v/>
      </c>
      <c r="F184" s="121">
        <f>H184-D184-E184-G184</f>
        <v/>
      </c>
      <c r="G184" s="121">
        <f>COUNTIFS(#REF!,"Rejected",#REF!,"High")</f>
        <v/>
      </c>
      <c r="H184" s="122">
        <f>$H$182</f>
        <v/>
      </c>
      <c r="I184" s="123">
        <f>COUNTIFS(#REF!,"Pass",#REF!,"Normal")</f>
        <v/>
      </c>
      <c r="J184" s="124">
        <f>COUNTIFS(#REF!,"Fail",#REF!,"Normal")</f>
        <v/>
      </c>
      <c r="K184" s="124">
        <f>M184-I184-J184-L184</f>
        <v/>
      </c>
      <c r="L184" s="124">
        <f>COUNTIFS(#REF!,"Rejected",#REF!,"Normal")</f>
        <v/>
      </c>
      <c r="M184" s="125">
        <f>$M$182</f>
        <v/>
      </c>
      <c r="N184" s="163">
        <f>COUNTIFS(#REF!,"Pass",#REF!,"Low")</f>
        <v/>
      </c>
      <c r="O184" s="164">
        <f>COUNTIFS(#REF!,"Fail",#REF!,"Low")</f>
        <v/>
      </c>
      <c r="P184" s="164">
        <f>R184-N184-O184-Q184</f>
        <v/>
      </c>
      <c r="Q184" s="164">
        <f>COUNTIFS(#REF!,"Rejected",#REF!,"Low")</f>
        <v/>
      </c>
      <c r="R184" s="168">
        <f>$R$182</f>
        <v/>
      </c>
      <c r="S184" s="129">
        <f>H184+M184+R184</f>
        <v/>
      </c>
      <c r="T184" s="304" t="n"/>
      <c r="U184" s="146">
        <f>#REF!</f>
        <v/>
      </c>
      <c r="V184" s="305" t="n"/>
      <c r="W184" s="291" t="n"/>
      <c r="X184" s="306" t="n"/>
    </row>
    <row r="185">
      <c r="A185" s="303" t="n"/>
      <c r="B185" s="304" t="n"/>
      <c r="C185" s="90">
        <f>C7</f>
        <v/>
      </c>
      <c r="D185" s="172">
        <f>COUNTIFS(#REF!,"Pass",#REF!,"High")</f>
        <v/>
      </c>
      <c r="E185" s="121">
        <f>COUNTIFS(#REF!,"Fail",#REF!,"High")</f>
        <v/>
      </c>
      <c r="F185" s="121">
        <f>H185-D185-E185-G185</f>
        <v/>
      </c>
      <c r="G185" s="121">
        <f>COUNTIFS(#REF!,"Rejected",#REF!,"High")</f>
        <v/>
      </c>
      <c r="H185" s="122">
        <f>$H$182</f>
        <v/>
      </c>
      <c r="I185" s="123">
        <f>COUNTIFS(#REF!,"Pass",#REF!,"Normal")</f>
        <v/>
      </c>
      <c r="J185" s="124">
        <f>COUNTIFS(#REF!,"Fail",#REF!,"Normal")</f>
        <v/>
      </c>
      <c r="K185" s="124">
        <f>M185-I185-J185-L185</f>
        <v/>
      </c>
      <c r="L185" s="124">
        <f>COUNTIFS(#REF!,"Rejected",#REF!,"Normal")</f>
        <v/>
      </c>
      <c r="M185" s="125">
        <f>$M$182</f>
        <v/>
      </c>
      <c r="N185" s="163">
        <f>COUNTIFS(#REF!,"Pass",#REF!,"Low")</f>
        <v/>
      </c>
      <c r="O185" s="164">
        <f>COUNTIFS(#REF!,"Fail",#REF!,"Low")</f>
        <v/>
      </c>
      <c r="P185" s="164">
        <f>R185-N185-O185-Q185</f>
        <v/>
      </c>
      <c r="Q185" s="164">
        <f>COUNTIFS(#REF!,"Rejected",#REF!,"Low")</f>
        <v/>
      </c>
      <c r="R185" s="168">
        <f>$R$182</f>
        <v/>
      </c>
      <c r="S185" s="129">
        <f>H185+M185+R185</f>
        <v/>
      </c>
      <c r="T185" s="304" t="n"/>
      <c r="U185" s="146">
        <f>#REF!</f>
        <v/>
      </c>
      <c r="V185" s="305" t="n"/>
      <c r="W185" s="291" t="n"/>
      <c r="X185" s="306" t="n"/>
    </row>
    <row r="186">
      <c r="A186" s="303" t="n"/>
      <c r="B186" s="304" t="n"/>
      <c r="C186" s="90">
        <f>C8</f>
        <v/>
      </c>
      <c r="D186" s="172">
        <f>COUNTIFS(#REF!,"Pass",#REF!,"High")</f>
        <v/>
      </c>
      <c r="E186" s="121">
        <f>COUNTIFS(#REF!,"Fail",#REF!,"High")</f>
        <v/>
      </c>
      <c r="F186" s="121">
        <f>H186-D186-E186-G186</f>
        <v/>
      </c>
      <c r="G186" s="121">
        <f>COUNTIFS(#REF!,"Rejected",#REF!,"High")</f>
        <v/>
      </c>
      <c r="H186" s="122">
        <f>$H$182</f>
        <v/>
      </c>
      <c r="I186" s="123">
        <f>COUNTIFS(#REF!,"Pass",#REF!,"Normal")</f>
        <v/>
      </c>
      <c r="J186" s="124">
        <f>COUNTIFS(#REF!,"Fail",#REF!,"Normal")</f>
        <v/>
      </c>
      <c r="K186" s="124">
        <f>M186-I186-J186-L186</f>
        <v/>
      </c>
      <c r="L186" s="124">
        <f>COUNTIFS(#REF!,"Rejected",#REF!,"Normal")</f>
        <v/>
      </c>
      <c r="M186" s="125">
        <f>$M$182</f>
        <v/>
      </c>
      <c r="N186" s="163">
        <f>COUNTIFS(#REF!,"Pass",#REF!,"Low")</f>
        <v/>
      </c>
      <c r="O186" s="164">
        <f>COUNTIFS(#REF!,"Fail",#REF!,"Low")</f>
        <v/>
      </c>
      <c r="P186" s="164">
        <f>R186-N186-O186-Q186</f>
        <v/>
      </c>
      <c r="Q186" s="164">
        <f>COUNTIFS(#REF!,"Rejected",#REF!,"Low")</f>
        <v/>
      </c>
      <c r="R186" s="168">
        <f>$R$182</f>
        <v/>
      </c>
      <c r="S186" s="129">
        <f>H186+M186+R186</f>
        <v/>
      </c>
      <c r="T186" s="304" t="n"/>
      <c r="U186" s="146">
        <f>#REF!</f>
        <v/>
      </c>
      <c r="V186" s="305" t="n"/>
      <c r="W186" s="291" t="n"/>
      <c r="X186" s="306" t="n"/>
    </row>
    <row r="187" ht="11" customHeight="1" thickBot="1">
      <c r="A187" s="298" t="n"/>
      <c r="B187" s="293" t="n"/>
      <c r="C187" s="173">
        <f>C9</f>
        <v/>
      </c>
      <c r="D187" s="172">
        <f>COUNTIFS(#REF!,"Pass",#REF!,"High")</f>
        <v/>
      </c>
      <c r="E187" s="121">
        <f>COUNTIFS(#REF!,"Fail",#REF!,"High")</f>
        <v/>
      </c>
      <c r="F187" s="121">
        <f>H187-D187-E187-G187</f>
        <v/>
      </c>
      <c r="G187" s="121">
        <f>COUNTIFS(#REF!,"Rejected",#REF!,"High")</f>
        <v/>
      </c>
      <c r="H187" s="122">
        <f>$H$182</f>
        <v/>
      </c>
      <c r="I187" s="123">
        <f>COUNTIFS(#REF!,"Pass",#REF!,"Normal")</f>
        <v/>
      </c>
      <c r="J187" s="124">
        <f>COUNTIFS(#REF!,"Fail",#REF!,"Normal")</f>
        <v/>
      </c>
      <c r="K187" s="124">
        <f>M187-I187-J187-L187</f>
        <v/>
      </c>
      <c r="L187" s="124">
        <f>COUNTIFS(#REF!,"Rejected",#REF!,"Normal")</f>
        <v/>
      </c>
      <c r="M187" s="125">
        <f>$M$182</f>
        <v/>
      </c>
      <c r="N187" s="163">
        <f>COUNTIFS(#REF!,"Pass",#REF!,"Low")</f>
        <v/>
      </c>
      <c r="O187" s="164">
        <f>COUNTIFS(#REF!,"Fail",#REF!,"Low")</f>
        <v/>
      </c>
      <c r="P187" s="164">
        <f>R187-N187-O187-Q187</f>
        <v/>
      </c>
      <c r="Q187" s="164">
        <f>COUNTIFS(#REF!,"Rejected",#REF!,"Low")</f>
        <v/>
      </c>
      <c r="R187" s="168">
        <f>$R$182</f>
        <v/>
      </c>
      <c r="S187" s="140">
        <f>H187+M187+R187</f>
        <v/>
      </c>
      <c r="T187" s="293" t="n"/>
      <c r="U187" s="147">
        <f>#REF!</f>
        <v/>
      </c>
      <c r="V187" s="307" t="n"/>
      <c r="W187" s="294" t="n"/>
      <c r="X187" s="308" t="n"/>
    </row>
    <row r="188" ht="11" customHeight="1" thickBot="1">
      <c r="A188" s="148" t="n"/>
      <c r="B188" s="149" t="inlineStr">
        <is>
          <t>…</t>
        </is>
      </c>
      <c r="C188" s="150" t="inlineStr">
        <is>
          <t>…</t>
        </is>
      </c>
      <c r="D188" s="148" t="inlineStr">
        <is>
          <t>..</t>
        </is>
      </c>
      <c r="E188" s="149" t="inlineStr">
        <is>
          <t>..</t>
        </is>
      </c>
      <c r="F188" s="149" t="inlineStr">
        <is>
          <t>..</t>
        </is>
      </c>
      <c r="G188" s="149" t="n"/>
      <c r="H188" s="169" t="n"/>
      <c r="I188" s="148" t="n"/>
      <c r="J188" s="149" t="n"/>
      <c r="K188" s="149" t="n"/>
      <c r="L188" s="149" t="n"/>
      <c r="M188" s="169" t="n"/>
      <c r="N188" s="148" t="n"/>
      <c r="O188" s="149" t="n"/>
      <c r="P188" s="149" t="n"/>
      <c r="Q188" s="149" t="n"/>
      <c r="R188" s="169" t="n"/>
      <c r="S188" s="175" t="n"/>
      <c r="T188" s="155" t="n"/>
      <c r="U188" s="156" t="n"/>
      <c r="V188" s="150" t="n"/>
      <c r="W188" s="157" t="n"/>
      <c r="X188" s="158" t="n"/>
    </row>
    <row r="189">
      <c r="A189" s="49" t="n"/>
      <c r="B189" s="49" t="n"/>
      <c r="C189" s="49" t="n"/>
      <c r="D189" s="49" t="n"/>
      <c r="E189" s="49" t="n"/>
      <c r="F189" s="49" t="n"/>
      <c r="G189" s="49" t="n"/>
      <c r="H189" s="50" t="n"/>
      <c r="I189" s="49" t="n"/>
      <c r="J189" s="49" t="n"/>
      <c r="K189" s="49" t="n"/>
      <c r="L189" s="49" t="n"/>
      <c r="M189" s="50" t="n"/>
      <c r="N189" s="49" t="n"/>
      <c r="O189" s="49" t="n"/>
      <c r="P189" s="49" t="n"/>
      <c r="Q189" s="49" t="n"/>
      <c r="R189" s="50" t="n"/>
      <c r="S189" s="50" t="n"/>
      <c r="T189" s="51" t="n"/>
      <c r="U189" s="49" t="n"/>
      <c r="V189" s="49" t="n"/>
      <c r="W189" s="49" t="n"/>
      <c r="X189" s="49" t="n"/>
    </row>
    <row r="190">
      <c r="A190" s="49" t="n"/>
      <c r="B190" s="49" t="n"/>
      <c r="C190" s="49" t="n"/>
      <c r="D190" s="49" t="n"/>
      <c r="E190" s="49" t="n"/>
      <c r="F190" s="49" t="n"/>
      <c r="G190" s="49" t="n"/>
      <c r="H190" s="50" t="n"/>
      <c r="I190" s="49" t="n"/>
      <c r="J190" s="49" t="n"/>
      <c r="K190" s="49" t="n"/>
      <c r="L190" s="49" t="n"/>
      <c r="M190" s="50" t="n"/>
      <c r="N190" s="49" t="n"/>
      <c r="O190" s="49" t="n"/>
      <c r="P190" s="49" t="n"/>
      <c r="Q190" s="49" t="n"/>
      <c r="R190" s="50" t="n"/>
      <c r="S190" s="50" t="n"/>
      <c r="T190" s="51" t="n"/>
      <c r="U190" s="49" t="n"/>
      <c r="V190" s="49" t="n"/>
      <c r="W190" s="49" t="n"/>
      <c r="X190" s="49" t="n"/>
    </row>
  </sheetData>
  <mergeCells count="262">
    <mergeCell ref="V63:X63"/>
    <mergeCell ref="T98:T103"/>
    <mergeCell ref="V181:X181"/>
    <mergeCell ref="V115:X115"/>
    <mergeCell ref="B50:B55"/>
    <mergeCell ref="V24:X24"/>
    <mergeCell ref="N144:R144"/>
    <mergeCell ref="V155:X155"/>
    <mergeCell ref="A176:A181"/>
    <mergeCell ref="V117:X117"/>
    <mergeCell ref="V173:X173"/>
    <mergeCell ref="T170:T175"/>
    <mergeCell ref="A182:A187"/>
    <mergeCell ref="V123:X123"/>
    <mergeCell ref="V74:X74"/>
    <mergeCell ref="A21:C21"/>
    <mergeCell ref="V157:X157"/>
    <mergeCell ref="V132:X132"/>
    <mergeCell ref="V110:X110"/>
    <mergeCell ref="V166:X166"/>
    <mergeCell ref="S48:S49"/>
    <mergeCell ref="U48:U49"/>
    <mergeCell ref="T146:T151"/>
    <mergeCell ref="I144:M144"/>
    <mergeCell ref="T25:T26"/>
    <mergeCell ref="V36:X36"/>
    <mergeCell ref="V103:X103"/>
    <mergeCell ref="S24:U24"/>
    <mergeCell ref="T74:T79"/>
    <mergeCell ref="B170:B175"/>
    <mergeCell ref="V168:X168"/>
    <mergeCell ref="V113:X113"/>
    <mergeCell ref="V66:X66"/>
    <mergeCell ref="T144:T145"/>
    <mergeCell ref="V149:X149"/>
    <mergeCell ref="V118:X118"/>
    <mergeCell ref="V53:X53"/>
    <mergeCell ref="A164:A169"/>
    <mergeCell ref="V158:X158"/>
    <mergeCell ref="A4:B9"/>
    <mergeCell ref="I96:M96"/>
    <mergeCell ref="V50:X50"/>
    <mergeCell ref="A74:A79"/>
    <mergeCell ref="A56:A61"/>
    <mergeCell ref="V80:X80"/>
    <mergeCell ref="B116:B121"/>
    <mergeCell ref="T13:T14"/>
    <mergeCell ref="B182:B187"/>
    <mergeCell ref="T96:T97"/>
    <mergeCell ref="V160:X160"/>
    <mergeCell ref="T182:T187"/>
    <mergeCell ref="V183:X183"/>
    <mergeCell ref="V12:X12"/>
    <mergeCell ref="D37:H37"/>
    <mergeCell ref="D2:J2"/>
    <mergeCell ref="V135:X135"/>
    <mergeCell ref="V61:X61"/>
    <mergeCell ref="A116:A121"/>
    <mergeCell ref="V122:X122"/>
    <mergeCell ref="A24:C26"/>
    <mergeCell ref="B158:B163"/>
    <mergeCell ref="V185:X185"/>
    <mergeCell ref="V112:X112"/>
    <mergeCell ref="W13:W14"/>
    <mergeCell ref="V106:X106"/>
    <mergeCell ref="V121:X121"/>
    <mergeCell ref="S25:S26"/>
    <mergeCell ref="V64:X64"/>
    <mergeCell ref="B104:B109"/>
    <mergeCell ref="A68:A73"/>
    <mergeCell ref="V78:X78"/>
    <mergeCell ref="V105:X105"/>
    <mergeCell ref="V87:X87"/>
    <mergeCell ref="D144:H144"/>
    <mergeCell ref="W25:W26"/>
    <mergeCell ref="V98:X98"/>
    <mergeCell ref="V107:X107"/>
    <mergeCell ref="B134:B139"/>
    <mergeCell ref="V89:X89"/>
    <mergeCell ref="V171:X171"/>
    <mergeCell ref="V170:X170"/>
    <mergeCell ref="V148:X148"/>
    <mergeCell ref="B122:B127"/>
    <mergeCell ref="D96:H96"/>
    <mergeCell ref="T122:T127"/>
    <mergeCell ref="A47:B48"/>
    <mergeCell ref="N96:R96"/>
    <mergeCell ref="V54:X54"/>
    <mergeCell ref="V138:X138"/>
    <mergeCell ref="V120:X120"/>
    <mergeCell ref="V172:X172"/>
    <mergeCell ref="V146:X146"/>
    <mergeCell ref="A158:A163"/>
    <mergeCell ref="A12:C14"/>
    <mergeCell ref="A50:A55"/>
    <mergeCell ref="S37:S38"/>
    <mergeCell ref="V104:X104"/>
    <mergeCell ref="T68:T73"/>
    <mergeCell ref="V187:X187"/>
    <mergeCell ref="I37:M37"/>
    <mergeCell ref="U37:U38"/>
    <mergeCell ref="A80:A85"/>
    <mergeCell ref="V174:X174"/>
    <mergeCell ref="T176:T181"/>
    <mergeCell ref="V57:X57"/>
    <mergeCell ref="V124:X124"/>
    <mergeCell ref="V133:X133"/>
    <mergeCell ref="T110:T115"/>
    <mergeCell ref="B68:B73"/>
    <mergeCell ref="V130:X130"/>
    <mergeCell ref="V86:X86"/>
    <mergeCell ref="V126:X126"/>
    <mergeCell ref="V68:X68"/>
    <mergeCell ref="V55:X55"/>
    <mergeCell ref="A134:A139"/>
    <mergeCell ref="V175:X175"/>
    <mergeCell ref="D25:H25"/>
    <mergeCell ref="A15:B20"/>
    <mergeCell ref="V58:X58"/>
    <mergeCell ref="V52:X52"/>
    <mergeCell ref="V67:X67"/>
    <mergeCell ref="A122:A127"/>
    <mergeCell ref="S144:S145"/>
    <mergeCell ref="V150:X150"/>
    <mergeCell ref="T158:T163"/>
    <mergeCell ref="V159:X159"/>
    <mergeCell ref="T37:T38"/>
    <mergeCell ref="V111:X111"/>
    <mergeCell ref="V37:V38"/>
    <mergeCell ref="T86:T91"/>
    <mergeCell ref="V72:X72"/>
    <mergeCell ref="D36:R36"/>
    <mergeCell ref="V69:X69"/>
    <mergeCell ref="V81:X81"/>
    <mergeCell ref="V152:X152"/>
    <mergeCell ref="T48:T49"/>
    <mergeCell ref="V161:X161"/>
    <mergeCell ref="V84:X84"/>
    <mergeCell ref="V59:X59"/>
    <mergeCell ref="A170:A175"/>
    <mergeCell ref="V136:X136"/>
    <mergeCell ref="A95:B96"/>
    <mergeCell ref="A27:B32"/>
    <mergeCell ref="V186:X186"/>
    <mergeCell ref="X37:X38"/>
    <mergeCell ref="V108:X108"/>
    <mergeCell ref="N37:R37"/>
    <mergeCell ref="A110:A115"/>
    <mergeCell ref="T134:T139"/>
    <mergeCell ref="V51:X51"/>
    <mergeCell ref="B62:B67"/>
    <mergeCell ref="V60:X60"/>
    <mergeCell ref="B56:B61"/>
    <mergeCell ref="T62:T67"/>
    <mergeCell ref="V153:X153"/>
    <mergeCell ref="I25:M25"/>
    <mergeCell ref="S13:S14"/>
    <mergeCell ref="A143:B144"/>
    <mergeCell ref="V128:X128"/>
    <mergeCell ref="V70:X70"/>
    <mergeCell ref="U13:U14"/>
    <mergeCell ref="B176:B181"/>
    <mergeCell ref="V137:X137"/>
    <mergeCell ref="V144:X145"/>
    <mergeCell ref="S36:U36"/>
    <mergeCell ref="V48:X49"/>
    <mergeCell ref="B98:B103"/>
    <mergeCell ref="T104:T109"/>
    <mergeCell ref="V134:X134"/>
    <mergeCell ref="T164:T169"/>
    <mergeCell ref="V139:X139"/>
    <mergeCell ref="V179:X179"/>
    <mergeCell ref="V62:X62"/>
    <mergeCell ref="D24:R24"/>
    <mergeCell ref="A86:A91"/>
    <mergeCell ref="V114:X114"/>
    <mergeCell ref="V71:X71"/>
    <mergeCell ref="A104:A109"/>
    <mergeCell ref="V163:X163"/>
    <mergeCell ref="V101:X101"/>
    <mergeCell ref="V116:X116"/>
    <mergeCell ref="U144:U145"/>
    <mergeCell ref="B146:B151"/>
    <mergeCell ref="A39:B44"/>
    <mergeCell ref="I48:M48"/>
    <mergeCell ref="V91:X91"/>
    <mergeCell ref="S12:U12"/>
    <mergeCell ref="V73:X73"/>
    <mergeCell ref="V85:X85"/>
    <mergeCell ref="V100:X100"/>
    <mergeCell ref="B164:B169"/>
    <mergeCell ref="V82:X82"/>
    <mergeCell ref="V25:V26"/>
    <mergeCell ref="B74:B79"/>
    <mergeCell ref="V165:X165"/>
    <mergeCell ref="X25:X26"/>
    <mergeCell ref="A36:C38"/>
    <mergeCell ref="A152:A157"/>
    <mergeCell ref="I13:M13"/>
    <mergeCell ref="U96:U97"/>
    <mergeCell ref="V102:X102"/>
    <mergeCell ref="V77:X77"/>
    <mergeCell ref="A98:A103"/>
    <mergeCell ref="V99:X99"/>
    <mergeCell ref="V151:X151"/>
    <mergeCell ref="S96:S97"/>
    <mergeCell ref="V13:V14"/>
    <mergeCell ref="N25:R25"/>
    <mergeCell ref="X13:X14"/>
    <mergeCell ref="V83:X83"/>
    <mergeCell ref="V167:X167"/>
    <mergeCell ref="V127:X127"/>
    <mergeCell ref="B110:B115"/>
    <mergeCell ref="V176:X176"/>
    <mergeCell ref="V119:X119"/>
    <mergeCell ref="T116:T121"/>
    <mergeCell ref="R2:X2"/>
    <mergeCell ref="A128:A133"/>
    <mergeCell ref="V182:X182"/>
    <mergeCell ref="A33:C33"/>
    <mergeCell ref="V169:X169"/>
    <mergeCell ref="A146:A151"/>
    <mergeCell ref="V178:X178"/>
    <mergeCell ref="B86:B91"/>
    <mergeCell ref="B152:B157"/>
    <mergeCell ref="D13:H13"/>
    <mergeCell ref="U25:U26"/>
    <mergeCell ref="T152:T157"/>
    <mergeCell ref="V75:X75"/>
    <mergeCell ref="V162:X162"/>
    <mergeCell ref="T50:T55"/>
    <mergeCell ref="D12:R12"/>
    <mergeCell ref="V96:X97"/>
    <mergeCell ref="D48:H48"/>
    <mergeCell ref="T80:T85"/>
    <mergeCell ref="V125:X125"/>
    <mergeCell ref="N48:R48"/>
    <mergeCell ref="V177:X177"/>
    <mergeCell ref="V90:X90"/>
    <mergeCell ref="V164:X164"/>
    <mergeCell ref="V65:X65"/>
    <mergeCell ref="V109:X109"/>
    <mergeCell ref="V56:X56"/>
    <mergeCell ref="V154:X154"/>
    <mergeCell ref="N13:R13"/>
    <mergeCell ref="B128:B133"/>
    <mergeCell ref="T128:T133"/>
    <mergeCell ref="V129:X129"/>
    <mergeCell ref="B80:B85"/>
    <mergeCell ref="V76:X76"/>
    <mergeCell ref="V147:X147"/>
    <mergeCell ref="A45:C45"/>
    <mergeCell ref="V156:X156"/>
    <mergeCell ref="T56:T61"/>
    <mergeCell ref="V79:X79"/>
    <mergeCell ref="V184:X184"/>
    <mergeCell ref="V131:X131"/>
    <mergeCell ref="V88:X88"/>
    <mergeCell ref="W37:W38"/>
    <mergeCell ref="K2:Q2"/>
    <mergeCell ref="V180:X180"/>
    <mergeCell ref="A62:A67"/>
  </mergeCells>
  <pageMargins left="0.7" right="0.7" top="0.75" bottom="0.75" header="0.3" footer="0.3"/>
  <pageSetup orientation="landscape" paperSize="9"/>
  <headerFooter>
    <oddHeader/>
    <oddFooter>&amp;L&amp;"Calibri,Regular"&amp;K000000TPL-QA-01-04/V1.2&amp;C&amp;"Calibri,Regular"&amp;K000000Tài liệu lưu hành nội bộ&amp;R&amp;"Times New Roman,Regular"&amp;13 &amp;K000000&amp;P/&amp;N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1"/>
  <sheetViews>
    <sheetView tabSelected="1" zoomScale="70" zoomScaleNormal="70" zoomScalePageLayoutView="90"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G16" sqref="G16"/>
    </sheetView>
  </sheetViews>
  <sheetFormatPr baseColWidth="10" defaultColWidth="8.83203125" defaultRowHeight="15"/>
  <cols>
    <col width="14" customWidth="1" min="1" max="1"/>
    <col width="15.1640625" customWidth="1" min="2" max="2"/>
    <col width="22.5" customWidth="1" min="3" max="3"/>
    <col width="22.1640625" customWidth="1" min="4" max="4"/>
    <col width="26.1640625" customWidth="1" min="5" max="5"/>
    <col width="14.6640625" customWidth="1" min="6" max="6"/>
    <col width="26.6640625" customWidth="1" min="7" max="7"/>
    <col width="11.5" customWidth="1" min="8" max="8"/>
    <col width="13.33203125" customWidth="1" min="9" max="9"/>
    <col width="10.83203125" customWidth="1" min="10" max="12"/>
    <col width="9.6640625" customWidth="1" min="13" max="24"/>
    <col width="10.6640625" customWidth="1" min="25" max="25"/>
    <col width="8.6640625" customWidth="1" min="26" max="27"/>
    <col width="13.33203125" customWidth="1" min="28" max="28"/>
    <col width="10.83203125" customWidth="1" min="29" max="31"/>
    <col width="9.6640625" customWidth="1" min="32" max="43"/>
    <col width="10.6640625" customWidth="1" min="44" max="44"/>
    <col width="8.6640625" customWidth="1" min="45" max="46"/>
    <col width="13.33203125" customWidth="1" min="47" max="47"/>
    <col width="10.83203125" customWidth="1" min="48" max="50"/>
    <col width="9.6640625" customWidth="1" min="51" max="62"/>
    <col width="10.6640625" customWidth="1" min="63" max="63"/>
    <col width="8.6640625" customWidth="1" min="64" max="65"/>
    <col width="19.5" customWidth="1" min="66" max="66"/>
  </cols>
  <sheetData>
    <row r="1" ht="30.75" customHeight="1">
      <c r="A1" s="18" t="inlineStr">
        <is>
          <t>Module:</t>
        </is>
      </c>
      <c r="B1" s="19" t="inlineStr">
        <is>
          <t>MODULE-NAME</t>
        </is>
      </c>
      <c r="C1" s="275" t="n"/>
      <c r="D1" s="20" t="inlineStr">
        <is>
          <t>Creator:</t>
        </is>
      </c>
      <c r="E1" s="19" t="n"/>
      <c r="F1" s="275" t="n"/>
      <c r="G1" s="260" t="inlineStr">
        <is>
          <t>Environment</t>
        </is>
      </c>
      <c r="H1" s="262" t="inlineStr">
        <is>
          <t>Priority</t>
        </is>
      </c>
      <c r="I1" s="291" t="n"/>
      <c r="J1" s="291" t="n"/>
      <c r="K1" s="277" t="n"/>
      <c r="L1" s="315" t="inlineStr">
        <is>
          <t>Round 1</t>
        </is>
      </c>
      <c r="M1" s="292" t="n"/>
      <c r="N1" s="292" t="n"/>
      <c r="O1" s="292" t="n"/>
      <c r="P1" s="292" t="n"/>
      <c r="Q1" s="287" t="n"/>
      <c r="R1" s="315" t="inlineStr">
        <is>
          <t>Round 2</t>
        </is>
      </c>
      <c r="S1" s="292" t="n"/>
      <c r="T1" s="292" t="n"/>
      <c r="U1" s="292" t="n"/>
      <c r="V1" s="292" t="n"/>
      <c r="W1" s="287" t="n"/>
      <c r="X1" s="271" t="inlineStr">
        <is>
          <t>Round 3</t>
        </is>
      </c>
      <c r="Y1" s="292" t="n"/>
      <c r="Z1" s="292" t="n"/>
      <c r="AA1" s="292" t="n"/>
      <c r="AB1" s="292" t="n"/>
      <c r="AC1" s="292" t="n"/>
      <c r="AD1" s="178" t="n"/>
      <c r="AE1" s="178" t="n"/>
      <c r="AF1" s="44" t="n"/>
      <c r="AG1" s="44" t="n"/>
      <c r="AH1" s="44" t="n"/>
      <c r="AI1" s="43" t="n"/>
      <c r="AJ1" s="43" t="n"/>
      <c r="AK1" s="43" t="n"/>
      <c r="AL1" s="43" t="n"/>
      <c r="AM1" s="43" t="n"/>
      <c r="AN1" s="43" t="n"/>
      <c r="AO1" s="43" t="n"/>
      <c r="AP1" s="43" t="n"/>
      <c r="AQ1" s="43" t="n"/>
      <c r="AR1" s="43" t="n"/>
      <c r="AS1" s="43" t="n"/>
      <c r="AT1" s="43" t="n"/>
      <c r="AU1" s="44" t="n"/>
      <c r="AV1" s="44" t="n"/>
      <c r="AW1" s="44" t="n"/>
      <c r="AX1" s="44" t="n"/>
      <c r="AY1" s="44" t="n"/>
      <c r="AZ1" s="44" t="n"/>
      <c r="BA1" s="44" t="n"/>
      <c r="BB1" s="43" t="n"/>
      <c r="BC1" s="43" t="n"/>
      <c r="BD1" s="43" t="n"/>
      <c r="BE1" s="43" t="n"/>
      <c r="BF1" s="43" t="n"/>
      <c r="BG1" s="43" t="n"/>
      <c r="BH1" s="43" t="n"/>
      <c r="BI1" s="43" t="n"/>
      <c r="BJ1" s="43" t="n"/>
      <c r="BK1" s="43" t="n"/>
      <c r="BL1" s="43" t="n"/>
      <c r="BM1" s="43" t="n"/>
      <c r="BN1" s="42" t="n"/>
    </row>
    <row r="2" ht="34" customHeight="1">
      <c r="A2" s="18" t="inlineStr">
        <is>
          <t>Project name:</t>
        </is>
      </c>
      <c r="B2" s="31">
        <f>Cover!D3</f>
        <v/>
      </c>
      <c r="C2" s="276" t="n"/>
      <c r="D2" s="20" t="inlineStr">
        <is>
          <t>Created date:</t>
        </is>
      </c>
      <c r="E2" s="22" t="n"/>
      <c r="F2" s="275" t="n"/>
      <c r="G2" s="261" t="n"/>
      <c r="H2" s="262" t="inlineStr">
        <is>
          <t>High</t>
        </is>
      </c>
      <c r="I2" s="262" t="inlineStr">
        <is>
          <t>Normal</t>
        </is>
      </c>
      <c r="J2" s="262" t="inlineStr">
        <is>
          <t>Low</t>
        </is>
      </c>
      <c r="K2" s="262" t="inlineStr">
        <is>
          <t>Total</t>
        </is>
      </c>
      <c r="L2" s="262" t="inlineStr">
        <is>
          <t>Pass</t>
        </is>
      </c>
      <c r="M2" s="262" t="inlineStr">
        <is>
          <t>Fail</t>
        </is>
      </c>
      <c r="N2" s="262" t="inlineStr">
        <is>
          <t>Untested</t>
        </is>
      </c>
      <c r="O2" s="262" t="inlineStr">
        <is>
          <t>Rejected</t>
        </is>
      </c>
      <c r="P2" s="262" t="inlineStr">
        <is>
          <t>% coverage</t>
        </is>
      </c>
      <c r="Q2" s="262" t="inlineStr">
        <is>
          <t>Pass coverage</t>
        </is>
      </c>
      <c r="R2" s="262" t="inlineStr">
        <is>
          <t>Pass</t>
        </is>
      </c>
      <c r="S2" s="262" t="inlineStr">
        <is>
          <t>Fail</t>
        </is>
      </c>
      <c r="T2" s="262" t="inlineStr">
        <is>
          <t>Untested</t>
        </is>
      </c>
      <c r="U2" s="262" t="inlineStr">
        <is>
          <t>Rejected</t>
        </is>
      </c>
      <c r="V2" s="262" t="inlineStr">
        <is>
          <t>% coverage</t>
        </is>
      </c>
      <c r="W2" s="262" t="inlineStr">
        <is>
          <t>Pass coverage</t>
        </is>
      </c>
      <c r="X2" s="262" t="inlineStr">
        <is>
          <t>Pass</t>
        </is>
      </c>
      <c r="Y2" s="262" t="inlineStr">
        <is>
          <t>Fail</t>
        </is>
      </c>
      <c r="Z2" s="262" t="inlineStr">
        <is>
          <t>Untested</t>
        </is>
      </c>
      <c r="AA2" s="262" t="inlineStr">
        <is>
          <t>Rejected</t>
        </is>
      </c>
      <c r="AB2" s="262" t="inlineStr">
        <is>
          <t>% coverage</t>
        </is>
      </c>
      <c r="AC2" s="262" t="inlineStr">
        <is>
          <t>Pass coverage</t>
        </is>
      </c>
      <c r="AD2" s="44" t="n"/>
      <c r="AE2" s="44" t="n"/>
      <c r="AF2" s="44" t="n"/>
      <c r="AG2" s="44" t="n"/>
      <c r="AH2" s="44" t="n"/>
      <c r="AI2" s="44" t="n"/>
      <c r="AJ2" s="44" t="n"/>
      <c r="AK2" s="44" t="n"/>
      <c r="AL2" s="44" t="n"/>
      <c r="AM2" s="44" t="n"/>
      <c r="AN2" s="44" t="n"/>
      <c r="AO2" s="44" t="n"/>
      <c r="AP2" s="44" t="n"/>
      <c r="AQ2" s="44" t="n"/>
      <c r="AR2" s="44" t="n"/>
      <c r="AS2" s="44" t="n"/>
      <c r="AT2" s="44" t="n"/>
      <c r="AU2" s="44" t="n"/>
      <c r="AV2" s="44" t="n"/>
      <c r="AW2" s="44" t="n"/>
      <c r="AX2" s="44" t="n"/>
      <c r="AY2" s="44" t="n"/>
      <c r="AZ2" s="44" t="n"/>
      <c r="BA2" s="44" t="n"/>
      <c r="BB2" s="44" t="n"/>
      <c r="BC2" s="44" t="n"/>
      <c r="BD2" s="44" t="n"/>
      <c r="BE2" s="44" t="n"/>
      <c r="BF2" s="44" t="n"/>
      <c r="BG2" s="44" t="n"/>
      <c r="BH2" s="44" t="n"/>
      <c r="BI2" s="44" t="n"/>
      <c r="BJ2" s="44" t="n"/>
      <c r="BK2" s="44" t="n"/>
      <c r="BL2" s="44" t="n"/>
      <c r="BM2" s="44" t="n"/>
      <c r="BN2" s="44" t="n"/>
      <c r="BO2" s="44" t="n"/>
      <c r="BP2" s="44" t="n"/>
      <c r="BQ2" s="42" t="n"/>
    </row>
    <row r="3" ht="34" customHeight="1">
      <c r="A3" s="18" t="inlineStr">
        <is>
          <t>Phase:</t>
        </is>
      </c>
      <c r="B3" s="276">
        <f>Cover!D4</f>
        <v/>
      </c>
      <c r="C3" s="276" t="n"/>
      <c r="D3" s="20" t="inlineStr">
        <is>
          <t>Created time:</t>
        </is>
      </c>
      <c r="E3" s="22" t="inlineStr">
        <is>
          <t>0</t>
        </is>
      </c>
      <c r="F3" s="275" t="n"/>
      <c r="G3" s="37">
        <f>Report!C4</f>
        <v/>
      </c>
      <c r="H3" s="46">
        <f>COUNTIF(H12:H10000,"High")</f>
        <v/>
      </c>
      <c r="I3" s="46">
        <f>COUNTIF(H12:H10000,"Normal")</f>
        <v/>
      </c>
      <c r="J3" s="46">
        <f>COUNTIF(H12:H10000,"Low")</f>
        <v/>
      </c>
      <c r="K3" s="46">
        <f>SUM(H3:J3)</f>
        <v/>
      </c>
      <c r="L3" s="38">
        <f>COUNTIF(J12:J10000,"Pass")</f>
        <v/>
      </c>
      <c r="M3" s="38">
        <f>COUNTIF(J12:J10000,"Fail")</f>
        <v/>
      </c>
      <c r="N3" s="38">
        <f>$K$3-L3-M3-O3</f>
        <v/>
      </c>
      <c r="O3" s="38">
        <f>COUNTIF(J12:J10000,"Rejected")</f>
        <v/>
      </c>
      <c r="P3" s="179">
        <f>(L3+M3)/($K$3-O3)</f>
        <v/>
      </c>
      <c r="Q3" s="179">
        <f>L3/$K$3</f>
        <v/>
      </c>
      <c r="R3" s="38">
        <f>COUNTIF(AC12:AC10000,"Pass")</f>
        <v/>
      </c>
      <c r="S3" s="38">
        <f>COUNTIF(AC12:AC10000,"Fail")</f>
        <v/>
      </c>
      <c r="T3" s="38">
        <f>$K$3-R3-S3-U3</f>
        <v/>
      </c>
      <c r="U3" s="38">
        <f>COUNTIF(AC12:AC10000,"Rejected")</f>
        <v/>
      </c>
      <c r="V3" s="179">
        <f>(R3+S3)/($K$3-U3)</f>
        <v/>
      </c>
      <c r="W3" s="179">
        <f>R3/$K$3</f>
        <v/>
      </c>
      <c r="X3" s="38">
        <f>COUNTIF(AV12:AV10000,"Pass")</f>
        <v/>
      </c>
      <c r="Y3" s="38">
        <f>COUNTIF(AV12:AV10000,"Fail")</f>
        <v/>
      </c>
      <c r="Z3" s="38">
        <f>$K$3-X3-Y3-AA3</f>
        <v/>
      </c>
      <c r="AA3" s="38">
        <f>COUNTIF(AV12:AV10000,"Rejected")</f>
        <v/>
      </c>
      <c r="AB3" s="179">
        <f>(X3+Y3)/($K$3-AA3)</f>
        <v/>
      </c>
      <c r="AC3" s="179">
        <f>X3/$K$3</f>
        <v/>
      </c>
      <c r="AD3" s="274" t="n"/>
      <c r="AE3" s="274" t="n"/>
      <c r="AF3" s="274" t="n"/>
      <c r="AG3" s="274" t="n"/>
      <c r="AH3" s="274" t="n"/>
      <c r="AI3" s="274" t="n"/>
      <c r="AJ3" s="274" t="n"/>
      <c r="AK3" s="274" t="n"/>
      <c r="AL3" s="274" t="n"/>
      <c r="AM3" s="274" t="n"/>
      <c r="AN3" s="274" t="n"/>
      <c r="AO3" s="274" t="n"/>
      <c r="AP3" s="274" t="n"/>
      <c r="AQ3" s="274" t="n"/>
      <c r="AR3" s="274" t="n"/>
      <c r="AS3" s="274" t="n"/>
      <c r="AT3" s="274" t="n"/>
      <c r="AU3" s="274" t="n"/>
      <c r="AV3" s="274" t="n"/>
      <c r="AW3" s="274" t="n"/>
      <c r="AX3" s="274" t="n"/>
      <c r="AY3" s="274" t="n"/>
      <c r="AZ3" s="274" t="n"/>
      <c r="BA3" s="274" t="n"/>
      <c r="BB3" s="274" t="n"/>
      <c r="BC3" s="274" t="n"/>
      <c r="BD3" s="274" t="n"/>
      <c r="BE3" s="274" t="n"/>
      <c r="BF3" s="274" t="n"/>
      <c r="BG3" s="274" t="n"/>
      <c r="BH3" s="274" t="n"/>
      <c r="BI3" s="274" t="n"/>
      <c r="BJ3" s="274" t="n"/>
      <c r="BK3" s="274" t="n"/>
      <c r="BL3" s="274" t="n"/>
      <c r="BM3" s="274" t="n"/>
      <c r="BN3" s="274" t="n"/>
      <c r="BO3" s="274" t="n"/>
      <c r="BP3" s="274" t="n"/>
      <c r="BQ3" s="42" t="n"/>
    </row>
    <row r="4" ht="17" customHeight="1">
      <c r="A4" s="23" t="n"/>
      <c r="B4" s="24" t="n"/>
      <c r="C4" s="24" t="n"/>
      <c r="D4" s="275" t="n"/>
      <c r="E4" s="275" t="n"/>
      <c r="F4" s="275" t="n"/>
      <c r="G4" s="37">
        <f>Report!C5</f>
        <v/>
      </c>
      <c r="H4" s="47" t="n"/>
      <c r="I4" s="47" t="n"/>
      <c r="J4" s="47" t="n"/>
      <c r="K4" s="47" t="n"/>
      <c r="L4" s="38">
        <f>COUNTIF(M12:M10000,"Pass")</f>
        <v/>
      </c>
      <c r="M4" s="38">
        <f>COUNTIF(M12:M10000,"Fail")</f>
        <v/>
      </c>
      <c r="N4" s="38">
        <f>$K$3-L4-M4-O4</f>
        <v/>
      </c>
      <c r="O4" s="38">
        <f>COUNTIF(M12:M10000,"Rejected")</f>
        <v/>
      </c>
      <c r="P4" s="179">
        <f>(L4+M4)/($K$3-O4)</f>
        <v/>
      </c>
      <c r="Q4" s="179">
        <f>L4/$K$3</f>
        <v/>
      </c>
      <c r="R4" s="38">
        <f>COUNTIF(AF12:AF10000,"Pass")</f>
        <v/>
      </c>
      <c r="S4" s="38">
        <f>COUNTIF(AF12:AF10000,"Fail")</f>
        <v/>
      </c>
      <c r="T4" s="38">
        <f>$K$3-R4-S4-U4</f>
        <v/>
      </c>
      <c r="U4" s="38">
        <f>COUNTIF(AF12:AF10000,"Rejected")</f>
        <v/>
      </c>
      <c r="V4" s="179">
        <f>(R4+S4)/($K$3-U4)</f>
        <v/>
      </c>
      <c r="W4" s="179">
        <f>R4/$K$3</f>
        <v/>
      </c>
      <c r="X4" s="38">
        <f>COUNTIF(AY12:AY10000,"Pass")</f>
        <v/>
      </c>
      <c r="Y4" s="38">
        <f>COUNTIF(AY12:AY10000,"Fail")</f>
        <v/>
      </c>
      <c r="Z4" s="38">
        <f>$K$3-X4-Y4-AA4</f>
        <v/>
      </c>
      <c r="AA4" s="38">
        <f>COUNTIF(AY12:AY10000,"Rejected")</f>
        <v/>
      </c>
      <c r="AB4" s="179">
        <f>(X4+Y4)/($K$3-AA4)</f>
        <v/>
      </c>
      <c r="AC4" s="179">
        <f>X4/$K$3</f>
        <v/>
      </c>
      <c r="AD4" s="274" t="n"/>
      <c r="AE4" s="274" t="n"/>
      <c r="AF4" s="274" t="n"/>
      <c r="AG4" s="274" t="n"/>
      <c r="AH4" s="274" t="n"/>
      <c r="AJ4" s="274" t="n"/>
      <c r="AK4" s="274" t="n"/>
      <c r="AL4" s="274" t="n"/>
      <c r="AM4" s="274" t="n"/>
      <c r="AN4" s="274" t="n"/>
      <c r="AO4" s="274" t="n"/>
      <c r="AP4" s="274" t="n"/>
      <c r="AQ4" s="274" t="n"/>
      <c r="AR4" s="274" t="n"/>
      <c r="AS4" s="274" t="n"/>
      <c r="AT4" s="274" t="n"/>
      <c r="AU4" s="274" t="n"/>
      <c r="AV4" s="274" t="n"/>
      <c r="AW4" s="274" t="n"/>
      <c r="AZ4" s="274" t="n"/>
      <c r="BA4" s="274" t="n"/>
      <c r="BC4" s="274" t="n"/>
      <c r="BD4" s="274" t="n"/>
      <c r="BE4" s="274" t="n"/>
      <c r="BF4" s="274" t="n"/>
      <c r="BG4" s="274" t="n"/>
      <c r="BH4" s="274" t="n"/>
      <c r="BI4" s="274" t="n"/>
      <c r="BJ4" s="274" t="n"/>
      <c r="BK4" s="274" t="n"/>
      <c r="BL4" s="274" t="n"/>
      <c r="BM4" s="274" t="n"/>
      <c r="BN4" s="274" t="n"/>
      <c r="BO4" s="274" t="n"/>
      <c r="BP4" s="274" t="n"/>
      <c r="BQ4" s="42" t="n"/>
    </row>
    <row r="5" ht="17" customHeight="1">
      <c r="A5" s="23" t="n"/>
      <c r="B5" s="24" t="n"/>
      <c r="C5" s="24" t="n"/>
      <c r="D5" s="275" t="n"/>
      <c r="E5" s="275" t="n"/>
      <c r="F5" s="275" t="n"/>
      <c r="G5" s="37">
        <f>Report!C6</f>
        <v/>
      </c>
      <c r="H5" s="47" t="n"/>
      <c r="I5" s="47" t="n"/>
      <c r="J5" s="47" t="n"/>
      <c r="K5" s="47" t="n"/>
      <c r="L5" s="38">
        <f>COUNTIF(P12:P10000,"Pass")</f>
        <v/>
      </c>
      <c r="M5" s="38">
        <f>COUNTIF(P12:P10000,"Fail")</f>
        <v/>
      </c>
      <c r="N5" s="38">
        <f>$K$3-L5-M5-O5</f>
        <v/>
      </c>
      <c r="O5" s="38">
        <f>COUNTIF(P12:P10000,"Rejected")</f>
        <v/>
      </c>
      <c r="P5" s="179">
        <f>(L5+M5)/($K$3-O5)</f>
        <v/>
      </c>
      <c r="Q5" s="179">
        <f>L5/$K$3</f>
        <v/>
      </c>
      <c r="R5" s="38">
        <f>COUNTIF(AI12:AI10000,"Pass")</f>
        <v/>
      </c>
      <c r="S5" s="38">
        <f>COUNTIF(AI12:AI10000,"Fail")</f>
        <v/>
      </c>
      <c r="T5" s="38">
        <f>$K$3-R5-S5-U5</f>
        <v/>
      </c>
      <c r="U5" s="38">
        <f>COUNTIF(AI12:AI10000,"Rejected")</f>
        <v/>
      </c>
      <c r="V5" s="179">
        <f>(R5+S5)/($K$3-U5)</f>
        <v/>
      </c>
      <c r="W5" s="179">
        <f>R5/$K$3</f>
        <v/>
      </c>
      <c r="X5" s="38">
        <f>COUNTIF(BB12:BB10000,"Pass")</f>
        <v/>
      </c>
      <c r="Y5" s="38">
        <f>COUNTIF(BB12:BB10000,"Fail")</f>
        <v/>
      </c>
      <c r="Z5" s="38">
        <f>$K$3-X5-Y5-AA5</f>
        <v/>
      </c>
      <c r="AA5" s="38">
        <f>COUNTIF(BB12:BB10000,"Rejected")</f>
        <v/>
      </c>
      <c r="AB5" s="179">
        <f>(X5+Y5)/($K$3-AA5)</f>
        <v/>
      </c>
      <c r="AC5" s="179">
        <f>X5/$K$3</f>
        <v/>
      </c>
      <c r="AD5" s="274" t="n"/>
      <c r="AE5" s="274" t="n"/>
      <c r="AF5" s="274" t="n"/>
      <c r="AG5" s="274" t="n"/>
      <c r="AH5" s="274" t="n"/>
      <c r="AJ5" s="274" t="n"/>
      <c r="AK5" s="274" t="n"/>
      <c r="AL5" s="274" t="n"/>
      <c r="AM5" s="274" t="n"/>
      <c r="AN5" s="274" t="n"/>
      <c r="AO5" s="274" t="n"/>
      <c r="AP5" s="274" t="n"/>
      <c r="AQ5" s="274" t="n"/>
      <c r="AR5" s="274" t="n"/>
      <c r="AS5" s="274" t="n"/>
      <c r="AT5" s="274" t="n"/>
      <c r="AU5" s="274" t="n"/>
      <c r="AV5" s="274" t="n"/>
      <c r="AW5" s="274" t="n"/>
      <c r="AZ5" s="274" t="n"/>
      <c r="BA5" s="274" t="n"/>
      <c r="BC5" s="274" t="n"/>
      <c r="BD5" s="274" t="n"/>
      <c r="BE5" s="274" t="n"/>
      <c r="BF5" s="274" t="n"/>
      <c r="BG5" s="274" t="n"/>
      <c r="BH5" s="274" t="n"/>
      <c r="BI5" s="274" t="n"/>
      <c r="BJ5" s="274" t="n"/>
      <c r="BK5" s="274" t="n"/>
      <c r="BL5" s="274" t="n"/>
      <c r="BM5" s="274" t="n"/>
      <c r="BN5" s="274" t="n"/>
      <c r="BO5" s="274" t="n"/>
      <c r="BP5" s="274" t="n"/>
      <c r="BQ5" s="42" t="n"/>
    </row>
    <row r="6" ht="17" customHeight="1">
      <c r="A6" s="23" t="n"/>
      <c r="B6" s="24" t="n"/>
      <c r="C6" s="24" t="n"/>
      <c r="D6" s="275" t="n"/>
      <c r="E6" s="275" t="n"/>
      <c r="F6" s="275" t="n"/>
      <c r="G6" s="37">
        <f>Report!C7</f>
        <v/>
      </c>
      <c r="H6" s="47" t="n"/>
      <c r="I6" s="47" t="n"/>
      <c r="J6" s="47" t="n"/>
      <c r="K6" s="47" t="n"/>
      <c r="L6" s="38">
        <f>COUNTIF(S12:S10000,"Pass")</f>
        <v/>
      </c>
      <c r="M6" s="38">
        <f>COUNTIF(S12:S10000,"Fail")</f>
        <v/>
      </c>
      <c r="N6" s="38">
        <f>$K$3-L6-M6-O6</f>
        <v/>
      </c>
      <c r="O6" s="38">
        <f>COUNTIF(S12:S10000,"Rejected")</f>
        <v/>
      </c>
      <c r="P6" s="179">
        <f>(L6+M6)/($K$3-O6)</f>
        <v/>
      </c>
      <c r="Q6" s="179">
        <f>L6/$K$3</f>
        <v/>
      </c>
      <c r="R6" s="38">
        <f>COUNTIF(AL12:AL10000,"Pass")</f>
        <v/>
      </c>
      <c r="S6" s="38">
        <f>COUNTIF(AL12:AL10000,"Fail")</f>
        <v/>
      </c>
      <c r="T6" s="38">
        <f>$K$3-R6-S6-U6</f>
        <v/>
      </c>
      <c r="U6" s="38">
        <f>COUNTIF(AL12:AL10000,"Rejected")</f>
        <v/>
      </c>
      <c r="V6" s="179">
        <f>(R6+S6)/($K$3-U6)</f>
        <v/>
      </c>
      <c r="W6" s="179">
        <f>R6/$K$3</f>
        <v/>
      </c>
      <c r="X6" s="38">
        <f>COUNTIF(BE12:BE10000,"Pass")</f>
        <v/>
      </c>
      <c r="Y6" s="38">
        <f>COUNTIF(BE12:BE10000,"Fail")</f>
        <v/>
      </c>
      <c r="Z6" s="38">
        <f>$K$3-X6-Y6-AA6</f>
        <v/>
      </c>
      <c r="AA6" s="38">
        <f>COUNTIF(BE12:BE10000,"Rejected")</f>
        <v/>
      </c>
      <c r="AB6" s="179">
        <f>(X6+Y6)/($K$3-AA6)</f>
        <v/>
      </c>
      <c r="AC6" s="179">
        <f>X6/$K$3</f>
        <v/>
      </c>
      <c r="AD6" s="274" t="n"/>
      <c r="AE6" s="274" t="n"/>
      <c r="AF6" s="274" t="n"/>
      <c r="AG6" s="274" t="n"/>
      <c r="AH6" s="274" t="n"/>
      <c r="AJ6" s="274" t="n"/>
      <c r="AK6" s="274" t="n"/>
      <c r="AL6" s="274" t="n"/>
      <c r="AM6" s="274" t="n"/>
      <c r="AN6" s="274" t="n"/>
      <c r="AO6" s="274" t="n"/>
      <c r="AP6" s="274" t="n"/>
      <c r="AQ6" s="274" t="n"/>
      <c r="AR6" s="274" t="n"/>
      <c r="AS6" s="274" t="n"/>
      <c r="AT6" s="274" t="n"/>
      <c r="AU6" s="274" t="n"/>
      <c r="AV6" s="274" t="n"/>
      <c r="AW6" s="274" t="n"/>
      <c r="AZ6" s="274" t="n"/>
      <c r="BA6" s="274" t="n"/>
      <c r="BC6" s="274" t="n"/>
      <c r="BD6" s="274" t="n"/>
      <c r="BE6" s="274" t="n"/>
      <c r="BF6" s="274" t="n"/>
      <c r="BG6" s="274" t="n"/>
      <c r="BH6" s="274" t="n"/>
      <c r="BI6" s="274" t="n"/>
      <c r="BJ6" s="274" t="n"/>
      <c r="BK6" s="274" t="n"/>
      <c r="BL6" s="274" t="n"/>
      <c r="BM6" s="274" t="n"/>
      <c r="BN6" s="274" t="n"/>
      <c r="BO6" s="274" t="n"/>
      <c r="BP6" s="274" t="n"/>
      <c r="BQ6" s="42" t="n"/>
    </row>
    <row r="7" ht="17" customHeight="1">
      <c r="A7" s="23" t="n"/>
      <c r="B7" s="24" t="n"/>
      <c r="C7" s="24" t="n"/>
      <c r="D7" s="275" t="n"/>
      <c r="E7" s="275" t="n"/>
      <c r="F7" s="275" t="n"/>
      <c r="G7" s="37">
        <f>Report!C8</f>
        <v/>
      </c>
      <c r="H7" s="47" t="n"/>
      <c r="I7" s="47" t="n"/>
      <c r="J7" s="47" t="n"/>
      <c r="K7" s="47" t="n"/>
      <c r="L7" s="38">
        <f>COUNTIF(V12:V10000,"Pass")</f>
        <v/>
      </c>
      <c r="M7" s="38">
        <f>COUNTIF(V12:V10000,"Fail")</f>
        <v/>
      </c>
      <c r="N7" s="38">
        <f>$K$3-L7-M7-O7</f>
        <v/>
      </c>
      <c r="O7" s="38">
        <f>COUNTIF(V12:V10000,"Rejected")</f>
        <v/>
      </c>
      <c r="P7" s="179">
        <f>(L7+M7)/($K$3-O7)</f>
        <v/>
      </c>
      <c r="Q7" s="179">
        <f>L7/$K$3</f>
        <v/>
      </c>
      <c r="R7" s="38">
        <f>COUNTIF(AO12:AO10000,"Pass")</f>
        <v/>
      </c>
      <c r="S7" s="38">
        <f>COUNTIF(AO12:AO10000,"Fail")</f>
        <v/>
      </c>
      <c r="T7" s="38">
        <f>$K$3-R7-S7-U7</f>
        <v/>
      </c>
      <c r="U7" s="38">
        <f>COUNTIF(AO12:AO10000,"Rejected")</f>
        <v/>
      </c>
      <c r="V7" s="179">
        <f>(R7+S7)/($K$3-U7)</f>
        <v/>
      </c>
      <c r="W7" s="179">
        <f>R7/$K$3</f>
        <v/>
      </c>
      <c r="X7" s="38">
        <f>COUNTIF(BH12:BH10000,"Pass")</f>
        <v/>
      </c>
      <c r="Y7" s="38">
        <f>COUNTIF(BH12:BH10000,"Fail")</f>
        <v/>
      </c>
      <c r="Z7" s="38">
        <f>$K$3-X7-Y7-AA7</f>
        <v/>
      </c>
      <c r="AA7" s="38">
        <f>COUNTIF(BH12:BH10000,"Rejected")</f>
        <v/>
      </c>
      <c r="AB7" s="179">
        <f>(X7+Y7)/($K$3-AA7)</f>
        <v/>
      </c>
      <c r="AC7" s="179">
        <f>X7/$K$3</f>
        <v/>
      </c>
      <c r="AD7" s="274" t="n"/>
      <c r="AE7" s="274" t="n"/>
      <c r="AF7" s="274" t="n"/>
      <c r="AG7" s="274" t="n"/>
      <c r="AH7" s="274" t="n"/>
      <c r="AJ7" s="274" t="n"/>
      <c r="AK7" s="274" t="n"/>
      <c r="AL7" s="274" t="n"/>
      <c r="AM7" s="274" t="n"/>
      <c r="AN7" s="274" t="n"/>
      <c r="AO7" s="274" t="n"/>
      <c r="AP7" s="274" t="n"/>
      <c r="AQ7" s="274" t="n"/>
      <c r="AR7" s="274" t="n"/>
      <c r="AS7" s="274" t="n"/>
      <c r="AT7" s="274" t="n"/>
      <c r="AU7" s="274" t="n"/>
      <c r="AV7" s="274" t="n"/>
      <c r="AW7" s="274" t="n"/>
      <c r="AZ7" s="274" t="n"/>
      <c r="BA7" s="274" t="n"/>
      <c r="BC7" s="274" t="n"/>
      <c r="BD7" s="274" t="n"/>
      <c r="BE7" s="274" t="n"/>
      <c r="BF7" s="274" t="n"/>
      <c r="BG7" s="274" t="n"/>
      <c r="BH7" s="274" t="n"/>
      <c r="BI7" s="274" t="n"/>
      <c r="BJ7" s="274" t="n"/>
      <c r="BK7" s="274" t="n"/>
      <c r="BL7" s="274" t="n"/>
      <c r="BM7" s="274" t="n"/>
      <c r="BN7" s="274" t="n"/>
      <c r="BO7" s="274" t="n"/>
      <c r="BP7" s="274" t="n"/>
      <c r="BQ7" s="42" t="n"/>
    </row>
    <row r="8" ht="17" customHeight="1">
      <c r="A8" s="23" t="n"/>
      <c r="B8" s="24" t="n"/>
      <c r="C8" s="24" t="n"/>
      <c r="D8" s="24" t="n"/>
      <c r="E8" s="275" t="n"/>
      <c r="F8" s="275" t="n"/>
      <c r="G8" s="37">
        <f>Report!C9</f>
        <v/>
      </c>
      <c r="H8" s="48" t="n"/>
      <c r="I8" s="48" t="n"/>
      <c r="J8" s="48" t="n"/>
      <c r="K8" s="48" t="n"/>
      <c r="L8" s="38">
        <f>COUNTIF(Y12:Y10000,"Pass")</f>
        <v/>
      </c>
      <c r="M8" s="38">
        <f>COUNTIF(Y12:Y10000,"Fail")</f>
        <v/>
      </c>
      <c r="N8" s="38">
        <f>$K$3-L8-M8-O8</f>
        <v/>
      </c>
      <c r="O8" s="38">
        <f>COUNTIF(Y12:Y10000,"Rejected")</f>
        <v/>
      </c>
      <c r="P8" s="179">
        <f>(L8+M8)/($K$3-O8)</f>
        <v/>
      </c>
      <c r="Q8" s="179">
        <f>L8/$K$3</f>
        <v/>
      </c>
      <c r="R8" s="38">
        <f>COUNTIF(AR12:AR10000,"Pass")</f>
        <v/>
      </c>
      <c r="S8" s="38">
        <f>COUNTIF(AR12:AR10000,"Fail")</f>
        <v/>
      </c>
      <c r="T8" s="38">
        <f>$K$3-R8-S8-U8</f>
        <v/>
      </c>
      <c r="U8" s="38">
        <f>COUNTIF(AR12:AR10000,"Rejected")</f>
        <v/>
      </c>
      <c r="V8" s="179">
        <f>(R8+S8)/($K$3-U8)</f>
        <v/>
      </c>
      <c r="W8" s="179">
        <f>R8/$K$3</f>
        <v/>
      </c>
      <c r="X8" s="38">
        <f>COUNTIF(BK12:BK10000,"Pass")</f>
        <v/>
      </c>
      <c r="Y8" s="38">
        <f>COUNTIF(BK12:BK10000,"Fail")</f>
        <v/>
      </c>
      <c r="Z8" s="38">
        <f>$K$3-X8-Y8-AA8</f>
        <v/>
      </c>
      <c r="AA8" s="38">
        <f>COUNTIF(BK12:BK10000,"Rejected")</f>
        <v/>
      </c>
      <c r="AB8" s="179">
        <f>(X8+Y8)/($K$3-AA8)</f>
        <v/>
      </c>
      <c r="AC8" s="179">
        <f>X8/$K$3</f>
        <v/>
      </c>
      <c r="AD8" s="274" t="n"/>
      <c r="AE8" s="274" t="n"/>
      <c r="AF8" s="274" t="n"/>
      <c r="AG8" s="274" t="n"/>
      <c r="AH8" s="274" t="n"/>
      <c r="AJ8" s="274" t="n"/>
      <c r="AK8" s="274" t="n"/>
      <c r="AL8" s="274" t="n"/>
      <c r="AM8" s="274" t="n"/>
      <c r="AN8" s="274" t="n"/>
      <c r="AO8" s="274" t="n"/>
      <c r="AP8" s="274" t="n"/>
      <c r="AQ8" s="274" t="n"/>
      <c r="AR8" s="274" t="n"/>
      <c r="AS8" s="274" t="n"/>
      <c r="AT8" s="274" t="n"/>
      <c r="AU8" s="274" t="n"/>
      <c r="AV8" s="274" t="n"/>
      <c r="AW8" s="274" t="n"/>
      <c r="AZ8" s="274" t="n"/>
      <c r="BA8" s="274" t="n"/>
      <c r="BC8" s="274" t="n"/>
      <c r="BD8" s="274" t="n"/>
      <c r="BE8" s="274" t="n"/>
      <c r="BF8" s="274" t="n"/>
      <c r="BG8" s="274" t="n"/>
      <c r="BH8" s="274" t="n"/>
      <c r="BI8" s="274" t="n"/>
      <c r="BJ8" s="274" t="n"/>
      <c r="BK8" s="274" t="n"/>
      <c r="BL8" s="274" t="n"/>
      <c r="BM8" s="274" t="n"/>
      <c r="BN8" s="274" t="n"/>
      <c r="BO8" s="274" t="n"/>
      <c r="BP8" s="274" t="n"/>
      <c r="BQ8" s="42" t="n"/>
    </row>
    <row r="9" ht="16" customHeight="1">
      <c r="A9" s="275" t="n"/>
      <c r="B9" s="275" t="n"/>
      <c r="C9" s="275" t="n"/>
      <c r="D9" s="25" t="n"/>
      <c r="E9" s="275" t="n"/>
      <c r="F9" s="275" t="n"/>
      <c r="G9" s="25" t="n"/>
      <c r="H9" s="25" t="n"/>
      <c r="I9" s="275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75" t="n"/>
      <c r="Z9" s="275" t="n"/>
      <c r="AA9" s="275" t="n"/>
      <c r="AB9" s="275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75" t="n"/>
      <c r="AS9" s="275" t="n"/>
      <c r="AT9" s="275" t="n"/>
      <c r="AU9" s="275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75" t="n"/>
      <c r="BL9" s="275" t="n"/>
      <c r="BM9" s="275" t="n"/>
      <c r="BN9" s="275" t="n"/>
    </row>
    <row r="10" ht="15.75" customHeight="1">
      <c r="A10" s="262" t="inlineStr">
        <is>
          <t>ID</t>
        </is>
      </c>
      <c r="B10" s="262" t="inlineStr">
        <is>
          <t>Category</t>
        </is>
      </c>
      <c r="C10" s="262" t="inlineStr">
        <is>
          <t>Name</t>
        </is>
      </c>
      <c r="D10" s="262" t="inlineStr">
        <is>
          <t>Precondition</t>
        </is>
      </c>
      <c r="E10" s="262" t="inlineStr">
        <is>
          <t>Performance steps(test steps)</t>
        </is>
      </c>
      <c r="F10" s="262" t="inlineStr">
        <is>
          <t>Test Data</t>
        </is>
      </c>
      <c r="G10" s="262" t="inlineStr">
        <is>
          <t>Expected result</t>
        </is>
      </c>
      <c r="H10" s="262" t="inlineStr">
        <is>
          <t>Priority</t>
        </is>
      </c>
      <c r="I10" s="262" t="inlineStr">
        <is>
          <t>Test result - Round 1</t>
        </is>
      </c>
      <c r="J10" s="291" t="n"/>
      <c r="K10" s="291" t="n"/>
      <c r="L10" s="291" t="n"/>
      <c r="M10" s="291" t="n"/>
      <c r="N10" s="291" t="n"/>
      <c r="O10" s="291" t="n"/>
      <c r="P10" s="291" t="n"/>
      <c r="Q10" s="291" t="n"/>
      <c r="R10" s="291" t="n"/>
      <c r="S10" s="291" t="n"/>
      <c r="T10" s="291" t="n"/>
      <c r="U10" s="291" t="n"/>
      <c r="V10" s="291" t="n"/>
      <c r="W10" s="291" t="n"/>
      <c r="X10" s="291" t="n"/>
      <c r="Y10" s="291" t="n"/>
      <c r="Z10" s="291" t="n"/>
      <c r="AA10" s="277" t="n"/>
      <c r="AB10" s="267" t="inlineStr">
        <is>
          <t>Test result - Round 2</t>
        </is>
      </c>
      <c r="AC10" s="291" t="n"/>
      <c r="AD10" s="291" t="n"/>
      <c r="AE10" s="291" t="n"/>
      <c r="AF10" s="291" t="n"/>
      <c r="AG10" s="291" t="n"/>
      <c r="AH10" s="291" t="n"/>
      <c r="AI10" s="291" t="n"/>
      <c r="AJ10" s="291" t="n"/>
      <c r="AK10" s="291" t="n"/>
      <c r="AL10" s="291" t="n"/>
      <c r="AM10" s="291" t="n"/>
      <c r="AN10" s="291" t="n"/>
      <c r="AO10" s="291" t="n"/>
      <c r="AP10" s="291" t="n"/>
      <c r="AQ10" s="291" t="n"/>
      <c r="AR10" s="291" t="n"/>
      <c r="AS10" s="291" t="n"/>
      <c r="AT10" s="277" t="n"/>
      <c r="AU10" s="267" t="inlineStr">
        <is>
          <t>Test result - Round 3</t>
        </is>
      </c>
      <c r="AV10" s="291" t="n"/>
      <c r="AW10" s="291" t="n"/>
      <c r="AX10" s="291" t="n"/>
      <c r="AY10" s="291" t="n"/>
      <c r="AZ10" s="291" t="n"/>
      <c r="BA10" s="291" t="n"/>
      <c r="BB10" s="291" t="n"/>
      <c r="BC10" s="291" t="n"/>
      <c r="BD10" s="291" t="n"/>
      <c r="BE10" s="291" t="n"/>
      <c r="BF10" s="291" t="n"/>
      <c r="BG10" s="291" t="n"/>
      <c r="BH10" s="291" t="n"/>
      <c r="BI10" s="291" t="n"/>
      <c r="BJ10" s="291" t="n"/>
      <c r="BK10" s="291" t="n"/>
      <c r="BL10" s="291" t="n"/>
      <c r="BM10" s="277" t="n"/>
      <c r="BN10" s="316" t="inlineStr">
        <is>
          <t>Note</t>
        </is>
      </c>
    </row>
    <row r="11" ht="17" customHeight="1">
      <c r="A11" s="293" t="n"/>
      <c r="B11" s="293" t="n"/>
      <c r="C11" s="293" t="n"/>
      <c r="D11" s="293" t="n"/>
      <c r="E11" s="293" t="n"/>
      <c r="F11" s="293" t="n"/>
      <c r="G11" s="293" t="n"/>
      <c r="H11" s="293" t="n"/>
      <c r="I11" s="40" t="inlineStr">
        <is>
          <t>BugID</t>
        </is>
      </c>
      <c r="J11" s="262">
        <f>Report!C4</f>
        <v/>
      </c>
      <c r="K11" s="262" t="inlineStr">
        <is>
          <t>Tester</t>
        </is>
      </c>
      <c r="L11" s="262" t="inlineStr">
        <is>
          <t>Date</t>
        </is>
      </c>
      <c r="M11" s="262">
        <f>Report!C5</f>
        <v/>
      </c>
      <c r="N11" s="262" t="inlineStr">
        <is>
          <t>Tester</t>
        </is>
      </c>
      <c r="O11" s="262" t="inlineStr">
        <is>
          <t>Date</t>
        </is>
      </c>
      <c r="P11" s="262">
        <f>G5</f>
        <v/>
      </c>
      <c r="Q11" s="262" t="inlineStr">
        <is>
          <t>Tester</t>
        </is>
      </c>
      <c r="R11" s="262" t="inlineStr">
        <is>
          <t>Date</t>
        </is>
      </c>
      <c r="S11" s="262">
        <f>G6</f>
        <v/>
      </c>
      <c r="T11" s="262" t="inlineStr">
        <is>
          <t>Tester</t>
        </is>
      </c>
      <c r="U11" s="262" t="inlineStr">
        <is>
          <t>Date</t>
        </is>
      </c>
      <c r="V11" s="262">
        <f>G7</f>
        <v/>
      </c>
      <c r="W11" s="262" t="inlineStr">
        <is>
          <t>Tester</t>
        </is>
      </c>
      <c r="X11" s="262" t="inlineStr">
        <is>
          <t>Date</t>
        </is>
      </c>
      <c r="Y11" s="262">
        <f>G8</f>
        <v/>
      </c>
      <c r="Z11" s="40" t="inlineStr">
        <is>
          <t>Date</t>
        </is>
      </c>
      <c r="AA11" s="41" t="inlineStr">
        <is>
          <t>Tester</t>
        </is>
      </c>
      <c r="AB11" s="39" t="inlineStr">
        <is>
          <t>BugID</t>
        </is>
      </c>
      <c r="AC11" s="262">
        <f>G3</f>
        <v/>
      </c>
      <c r="AD11" s="262" t="inlineStr">
        <is>
          <t>Tester</t>
        </is>
      </c>
      <c r="AE11" s="262" t="inlineStr">
        <is>
          <t>Date</t>
        </is>
      </c>
      <c r="AF11" s="262">
        <f>G4</f>
        <v/>
      </c>
      <c r="AG11" s="262" t="inlineStr">
        <is>
          <t>Tester</t>
        </is>
      </c>
      <c r="AH11" s="262" t="inlineStr">
        <is>
          <t>Date</t>
        </is>
      </c>
      <c r="AI11" s="262">
        <f>G5</f>
        <v/>
      </c>
      <c r="AJ11" s="262" t="inlineStr">
        <is>
          <t>Tester</t>
        </is>
      </c>
      <c r="AK11" s="262" t="inlineStr">
        <is>
          <t>Date</t>
        </is>
      </c>
      <c r="AL11" s="262">
        <f>G6</f>
        <v/>
      </c>
      <c r="AM11" s="262" t="inlineStr">
        <is>
          <t>Tester</t>
        </is>
      </c>
      <c r="AN11" s="262" t="inlineStr">
        <is>
          <t>Date</t>
        </is>
      </c>
      <c r="AO11" s="262">
        <f>G7</f>
        <v/>
      </c>
      <c r="AP11" s="262" t="inlineStr">
        <is>
          <t>Tester</t>
        </is>
      </c>
      <c r="AQ11" s="262" t="inlineStr">
        <is>
          <t>Date</t>
        </is>
      </c>
      <c r="AR11" s="262">
        <f>G8</f>
        <v/>
      </c>
      <c r="AS11" s="40" t="inlineStr">
        <is>
          <t>Date</t>
        </is>
      </c>
      <c r="AT11" s="41" t="inlineStr">
        <is>
          <t>Tester</t>
        </is>
      </c>
      <c r="AU11" s="39" t="inlineStr">
        <is>
          <t>BugID</t>
        </is>
      </c>
      <c r="AV11" s="262">
        <f>Report!C4</f>
        <v/>
      </c>
      <c r="AW11" s="262" t="inlineStr">
        <is>
          <t>Tester</t>
        </is>
      </c>
      <c r="AX11" s="262" t="inlineStr">
        <is>
          <t>Date</t>
        </is>
      </c>
      <c r="AY11" s="262">
        <f>Report!C5</f>
        <v/>
      </c>
      <c r="AZ11" s="262" t="inlineStr">
        <is>
          <t>Tester</t>
        </is>
      </c>
      <c r="BA11" s="262" t="inlineStr">
        <is>
          <t>Date</t>
        </is>
      </c>
      <c r="BB11" s="262">
        <f>Report!C6</f>
        <v/>
      </c>
      <c r="BC11" s="262" t="inlineStr">
        <is>
          <t>Tester</t>
        </is>
      </c>
      <c r="BD11" s="262" t="inlineStr">
        <is>
          <t>Date</t>
        </is>
      </c>
      <c r="BE11" s="262">
        <f>Report!C7</f>
        <v/>
      </c>
      <c r="BF11" s="262" t="inlineStr">
        <is>
          <t>Tester</t>
        </is>
      </c>
      <c r="BG11" s="262" t="inlineStr">
        <is>
          <t>Date</t>
        </is>
      </c>
      <c r="BH11" s="262">
        <f>Report!C8</f>
        <v/>
      </c>
      <c r="BI11" s="262" t="inlineStr">
        <is>
          <t>Tester</t>
        </is>
      </c>
      <c r="BJ11" s="262" t="inlineStr">
        <is>
          <t>Date</t>
        </is>
      </c>
      <c r="BK11" s="262">
        <f>Report!C9</f>
        <v/>
      </c>
      <c r="BL11" s="40" t="inlineStr">
        <is>
          <t>Date</t>
        </is>
      </c>
      <c r="BM11" s="41" t="inlineStr">
        <is>
          <t>Tester</t>
        </is>
      </c>
      <c r="BN11" s="287" t="n"/>
    </row>
    <row r="12" ht="204" customHeight="1"/>
    <row r="13" ht="17" customHeight="1"/>
    <row r="14" ht="17" customHeight="1"/>
    <row r="15" ht="17" customHeight="1"/>
    <row r="16" ht="17" customHeight="1"/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</sheetData>
  <mergeCells count="20">
    <mergeCell ref="AY3:AY8"/>
    <mergeCell ref="C10:C11"/>
    <mergeCell ref="BB3:BB8"/>
    <mergeCell ref="E10:E11"/>
    <mergeCell ref="G10:G11"/>
    <mergeCell ref="I10:AA10"/>
    <mergeCell ref="L1:Q1"/>
    <mergeCell ref="AB10:AT10"/>
    <mergeCell ref="B10:B11"/>
    <mergeCell ref="H1:K1"/>
    <mergeCell ref="X1:AC1"/>
    <mergeCell ref="BN10:BN11"/>
    <mergeCell ref="AU10:BM10"/>
    <mergeCell ref="AX3:AX8"/>
    <mergeCell ref="A10:A11"/>
    <mergeCell ref="R1:W1"/>
    <mergeCell ref="D10:D11"/>
    <mergeCell ref="AI3:AI8"/>
    <mergeCell ref="F10:F11"/>
    <mergeCell ref="H10:H11"/>
  </mergeCells>
  <conditionalFormatting sqref="H12:H999">
    <cfRule type="cellIs" priority="22" operator="equal" dxfId="23" stopIfTrue="1">
      <formula>"Low"</formula>
    </cfRule>
    <cfRule type="cellIs" priority="23" operator="equal" dxfId="22" stopIfTrue="1">
      <formula>"Normal"</formula>
    </cfRule>
    <cfRule type="cellIs" priority="24" operator="equal" dxfId="0" stopIfTrue="1">
      <formula>"High"</formula>
    </cfRule>
  </conditionalFormatting>
  <conditionalFormatting sqref="J12:J999">
    <cfRule type="expression" priority="4" dxfId="0" stopIfTrue="1">
      <formula>INDIRECT("I"&amp;ROW())="Fail"</formula>
    </cfRule>
  </conditionalFormatting>
  <conditionalFormatting sqref="M12:M999">
    <cfRule type="expression" priority="5" dxfId="0" stopIfTrue="1">
      <formula>INDIRECT("L"&amp;ROW())="Fail"</formula>
    </cfRule>
  </conditionalFormatting>
  <conditionalFormatting sqref="P12:P999">
    <cfRule type="expression" priority="6" dxfId="0" stopIfTrue="1">
      <formula>INDIRECT("O"&amp;ROW())="Fail"</formula>
    </cfRule>
  </conditionalFormatting>
  <conditionalFormatting sqref="S12:S19">
    <cfRule type="expression" priority="3" dxfId="0" stopIfTrue="1">
      <formula>INDIRECT("O"&amp;ROW())="Fail"</formula>
    </cfRule>
  </conditionalFormatting>
  <conditionalFormatting sqref="S20:S999">
    <cfRule type="expression" priority="7" dxfId="0" stopIfTrue="1">
      <formula>INDIRECT("R"&amp;ROW())="Fail"</formula>
    </cfRule>
  </conditionalFormatting>
  <conditionalFormatting sqref="V12:V19">
    <cfRule type="expression" priority="2" dxfId="0" stopIfTrue="1">
      <formula>INDIRECT("O"&amp;ROW())="Fail"</formula>
    </cfRule>
  </conditionalFormatting>
  <conditionalFormatting sqref="V20:V999">
    <cfRule type="expression" priority="8" dxfId="0" stopIfTrue="1">
      <formula>INDIRECT("U"&amp;ROW())="Fail"</formula>
    </cfRule>
  </conditionalFormatting>
  <conditionalFormatting sqref="Y12:Y19">
    <cfRule type="expression" priority="1" dxfId="0" stopIfTrue="1">
      <formula>INDIRECT("O"&amp;ROW())="Fail"</formula>
    </cfRule>
  </conditionalFormatting>
  <conditionalFormatting sqref="Y20:Y999">
    <cfRule type="expression" priority="9" dxfId="0" stopIfTrue="1">
      <formula>INDIRECT("X"&amp;ROW())="Fail"</formula>
    </cfRule>
  </conditionalFormatting>
  <conditionalFormatting sqref="AC12:AC999">
    <cfRule type="expression" priority="10" dxfId="0" stopIfTrue="1">
      <formula>INDIRECT("AB"&amp;ROW())="Fail"</formula>
    </cfRule>
  </conditionalFormatting>
  <conditionalFormatting sqref="AF12:AF999">
    <cfRule type="expression" priority="11" dxfId="0" stopIfTrue="1">
      <formula>INDIRECT("AE"&amp;ROW())="Fail"</formula>
    </cfRule>
  </conditionalFormatting>
  <conditionalFormatting sqref="AI12:AI999">
    <cfRule type="expression" priority="12" dxfId="0" stopIfTrue="1">
      <formula>INDIRECT("AH"&amp;ROW())="Fail"</formula>
    </cfRule>
  </conditionalFormatting>
  <conditionalFormatting sqref="AL12:AL999">
    <cfRule type="expression" priority="13" dxfId="0" stopIfTrue="1">
      <formula>INDIRECT("AK"&amp;ROW())="Fail"</formula>
    </cfRule>
  </conditionalFormatting>
  <conditionalFormatting sqref="AO12:AO999">
    <cfRule type="expression" priority="14" dxfId="0" stopIfTrue="1">
      <formula>INDIRECT("AN"&amp;ROW())="Fail"</formula>
    </cfRule>
  </conditionalFormatting>
  <conditionalFormatting sqref="AR12:AR999">
    <cfRule type="expression" priority="15" dxfId="0" stopIfTrue="1">
      <formula>INDIRECT("AQ"&amp;ROW())="Fail"</formula>
    </cfRule>
  </conditionalFormatting>
  <conditionalFormatting sqref="AV12:AV999">
    <cfRule type="expression" priority="16" dxfId="0" stopIfTrue="1">
      <formula>INDIRECT("AU"&amp;ROW())="Fail"</formula>
    </cfRule>
  </conditionalFormatting>
  <conditionalFormatting sqref="AY12:AY999">
    <cfRule type="expression" priority="17" dxfId="0" stopIfTrue="1">
      <formula>INDIRECT("AX"&amp;ROW())="Fail"</formula>
    </cfRule>
  </conditionalFormatting>
  <conditionalFormatting sqref="BB12:BB999">
    <cfRule type="expression" priority="18" dxfId="0" stopIfTrue="1">
      <formula>INDIRECT("BA"&amp;ROW())="Fail"</formula>
    </cfRule>
  </conditionalFormatting>
  <conditionalFormatting sqref="BE12:BE999">
    <cfRule type="expression" priority="19" dxfId="0" stopIfTrue="1">
      <formula>INDIRECT("BD"&amp;ROW())="Fail"</formula>
    </cfRule>
  </conditionalFormatting>
  <conditionalFormatting sqref="BH12:BH999">
    <cfRule type="expression" priority="20" dxfId="0" stopIfTrue="1">
      <formula>INDIRECT("BG"&amp;ROW())="Fail"</formula>
    </cfRule>
  </conditionalFormatting>
  <conditionalFormatting sqref="BK12:BK999">
    <cfRule type="expression" priority="21" dxfId="0" stopIfTrue="1">
      <formula>INDIRECT("BJ"&amp;ROW())="Fail"</formula>
    </cfRule>
  </conditionalFormatting>
  <dataValidations count="4">
    <dataValidation sqref="H12:H22" showDropDown="0" showInputMessage="1" showErrorMessage="1" allowBlank="1" type="list">
      <formula1>"High, Normal, Low"</formula1>
    </dataValidation>
    <dataValidation sqref="J12:J49 M12:M49 P12:P49 S12:S49 V12:V49 Y12:Y49 AC12:AC49 AF12:AF49 AI12:AI49 AL12:AL49 AO12:AO49 AR12:AR49 AV12:AV49 AY12:AY49 BB12:BB49 BE12:BE49 BH12:BH49 BK12:BK49" showDropDown="0" showInputMessage="1" showErrorMessage="1" allowBlank="1" type="list">
      <formula1>$L$2:$O$2</formula1>
    </dataValidation>
    <dataValidation sqref="H27:H47" showDropDown="0" showInputMessage="1" showErrorMessage="1" allowBlank="1" type="list">
      <formula1>"High, Normal,Low"</formula1>
    </dataValidation>
    <dataValidation sqref="J50:J98 K37:L98 M50:M98 N23:O98 P50:P98 Q23:R98 S50:S98 T23:U98 V50:V98 W23:X98 Y50:Y98 AC50:AC98 AD37:AE98 AF50:AF98 AG23:AH98 AI50:AI98 AJ23:AK98 AL50:AL98 AM23:AN98 AO50:AO98 AP23:AQ98 AR50:AR98 AV50:AV98 AW37:AX98 AY50:AY98 AZ23:BA98 BB50:BB98 BC23:BD98 BE50:BE98 BF23:BG98 BH50:BH98 BI23:BJ98 BK50:BK98" showDropDown="0" showInputMessage="1" showErrorMessage="1" allowBlank="1" type="list">
      <formula1>$G$2:$J$2</formula1>
    </dataValidation>
  </dataValidations>
  <pageMargins left="0.7" right="0.7" top="0.75" bottom="0.75" header="0.3" footer="0.3"/>
  <pageSetup orientation="landscape" paperSize="9" horizontalDpi="0" verticalDpi="0"/>
  <headerFooter>
    <oddHeader/>
    <oddFooter>&amp;L&amp;"Calibri,Regular"&amp;K000000TPL-QA-01-04/V1.2&amp;C&amp;"Calibri,Regular"&amp;K000000Tài liệu lưu hành nội bộ&amp;R&amp;"Times New Roman,Regular"&amp;13 &amp;K000000&amp;P/&amp;N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2017-12-28T03:20:00Z</dcterms:created>
  <dcterms:modified xsi:type="dcterms:W3CDTF">2026-04-07T06:26:10Z</dcterms:modified>
  <cp:lastModifiedBy>Đức Hải Nguyễn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0x0101002454ECAE107E7B4AA7D7A1F16F9253DD</vt:lpwstr>
  </property>
  <property name="MediaServiceImageTags" fmtid="{D5CDD505-2E9C-101B-9397-08002B2CF9AE}" pid="3">
    <vt:lpwstr/>
  </property>
</Properties>
</file>