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ホワイトペーパー_テスト項目" sheetId="1" r:id="rId4"/>
    <sheet state="visible" name="テスト結果" sheetId="2" r:id="rId5"/>
  </sheets>
  <definedNames/>
  <calcPr/>
</workbook>
</file>

<file path=xl/sharedStrings.xml><?xml version="1.0" encoding="utf-8"?>
<sst xmlns="http://schemas.openxmlformats.org/spreadsheetml/2006/main" count="1145" uniqueCount="323">
  <si>
    <t>** ホワイトペーパーの生成フロー</t>
  </si>
  <si>
    <t>A.WP1</t>
  </si>
  <si>
    <t>white-paper-transcription-creation</t>
  </si>
  <si>
    <t>条件・処理の流れ</t>
  </si>
  <si>
    <t>確認内容</t>
  </si>
  <si>
    <t>1</t>
  </si>
  <si>
    <t>wavファイル受信：0 バイトのファイル</t>
  </si>
  <si>
    <t>DBが更新されるか？エラーはあるか?</t>
  </si>
  <si>
    <t>Azure経由で処理する</t>
  </si>
  <si>
    <t>2</t>
  </si>
  <si>
    <t>wavファイル受信：テキストを生成する音声なしのファイル</t>
  </si>
  <si>
    <t>3</t>
  </si>
  <si>
    <t>wavファイル受信：録音ファイル</t>
  </si>
  <si>
    <t>4</t>
  </si>
  <si>
    <t>wavファイル受信：テキストを生成する音声ありのファイル、30分のファイル</t>
  </si>
  <si>
    <t>関数の処理時間が 30 分以内で成功する</t>
  </si>
  <si>
    <t>関数の処理時間が 30分以上で、例外タイムアウトがスローされる</t>
  </si>
  <si>
    <t>エラーが発生し (タイムアウト エラーではない)、例外がスローされる</t>
  </si>
  <si>
    <t>エラーが発生し (タイムアウト エラーではない)、例外がスローされない</t>
  </si>
  <si>
    <t>wavファイル受信：テキストを生成する音声ありのファイル、2時間のファイル</t>
  </si>
  <si>
    <t>_</t>
  </si>
  <si>
    <t>生のテキストをコレクションに取得する</t>
  </si>
  <si>
    <t>DBが更新されるか？</t>
  </si>
  <si>
    <t>条件</t>
  </si>
  <si>
    <t>ステップ・処理の流れ</t>
  </si>
  <si>
    <t>観点ID：</t>
  </si>
  <si>
    <t>追加/生成に成功した場合</t>
  </si>
  <si>
    <t>追加/生成に失敗した場合</t>
  </si>
  <si>
    <t>DBの内容は正しく更新されているか？</t>
  </si>
  <si>
    <t>データがcollection [usage_stat]に挿入される</t>
  </si>
  <si>
    <t>データがcollection [transcript]に挿入される</t>
  </si>
  <si>
    <t>パターンID</t>
  </si>
  <si>
    <t>結果</t>
  </si>
  <si>
    <t>id</t>
  </si>
  <si>
    <t>Usage statistics ID</t>
  </si>
  <si>
    <t>IN_PROGRESS_TRANSCRIPT</t>
  </si>
  <si>
    <t>1. wavファイルの受信：0 バイトのファイル</t>
  </si>
  <si>
    <t>WP1_A_1</t>
  </si>
  <si>
    <t>ファイルの生成に失敗し、以下のメッセージが表示されること</t>
  </si>
  <si>
    <t>ai_model_id</t>
  </si>
  <si>
    <t>Used AI model ID</t>
  </si>
  <si>
    <t>target_id</t>
  </si>
  <si>
    <t>target.target_id</t>
  </si>
  <si>
    <t>2. Azure経由で処理する</t>
  </si>
  <si>
    <t>ファイル選択必須。0Byte以上のファイルを選択してください。</t>
  </si>
  <si>
    <t>input_token</t>
  </si>
  <si>
    <t>Number of input tokens</t>
  </si>
  <si>
    <t>text</t>
  </si>
  <si>
    <t>from Azure</t>
  </si>
  <si>
    <t>output_token</t>
  </si>
  <si>
    <t>Number of output tokens</t>
  </si>
  <si>
    <t>progress</t>
  </si>
  <si>
    <t>RAW_DATA</t>
  </si>
  <si>
    <t>1. wavファイルの受信：テキストを生成する音声なしのファイル</t>
  </si>
  <si>
    <t>WP1_A_2</t>
  </si>
  <si>
    <t>ファイルの生成に失敗すること</t>
  </si>
  <si>
    <t>created_by</t>
  </si>
  <si>
    <t>Summary creator and editor user ID</t>
  </si>
  <si>
    <t>created_at</t>
  </si>
  <si>
    <t>time()</t>
  </si>
  <si>
    <t>year</t>
  </si>
  <si>
    <t>Statistics year</t>
  </si>
  <si>
    <t>updated_at</t>
  </si>
  <si>
    <t>month</t>
  </si>
  <si>
    <t>Statistics month</t>
  </si>
  <si>
    <t>deleted_at</t>
  </si>
  <si>
    <t>null</t>
  </si>
  <si>
    <t>1. wav ファイルの受信: テキストを生成する音声ありのファイル、 30分のファイル</t>
  </si>
  <si>
    <t>WP1_A_3</t>
  </si>
  <si>
    <t>生成に成功すること</t>
  </si>
  <si>
    <t>WP1_A_3_1</t>
  </si>
  <si>
    <t>データがcollecion [target] に更新されること
status:IN_PROGRESS_TRANSCRIPT</t>
  </si>
  <si>
    <t>collection_name</t>
  </si>
  <si>
    <t>Collection name</t>
  </si>
  <si>
    <t>Name of Meeting</t>
  </si>
  <si>
    <t>2. 関数の処理時間が30分以内で成功する</t>
  </si>
  <si>
    <t>WP1_A_3_2</t>
  </si>
  <si>
    <t>データがcollection[usage_stat]に更新されること</t>
  </si>
  <si>
    <t>データがcollection [log]に挿入される</t>
  </si>
  <si>
    <t>データがpoison queue[target]に挿入される</t>
  </si>
  <si>
    <t>Key(id)</t>
  </si>
  <si>
    <t>status</t>
  </si>
  <si>
    <t>ERROR</t>
  </si>
  <si>
    <t>WP1_A_4</t>
  </si>
  <si>
    <t>データがpoison queue[target]に更新されること</t>
  </si>
  <si>
    <t>対象ID</t>
  </si>
  <si>
    <t>error_detail</t>
  </si>
  <si>
    <t>エラー詳細</t>
  </si>
  <si>
    <t>2. 関数の処理時間が 30分以内で、例外タイムアウトがスローされる</t>
  </si>
  <si>
    <t>データがcollection [log]に更新されること</t>
  </si>
  <si>
    <t>type</t>
  </si>
  <si>
    <t>0:OK, 1:ERROR</t>
  </si>
  <si>
    <t>updated_by</t>
  </si>
  <si>
    <t>date</t>
  </si>
  <si>
    <t>WP1_A_5</t>
  </si>
  <si>
    <t>detail</t>
  </si>
  <si>
    <t>2. エラーが発生し(タイムアウト エラーではない)、例外がスローされる</t>
  </si>
  <si>
    <t>WP1_A_6</t>
  </si>
  <si>
    <t>2. エラーが発生し (タイムアウト エラーではない)、例外はスローされない</t>
  </si>
  <si>
    <t>1. wav ファイルの受信: テキストを生成する音声ありのファイル、 2時間のファイル</t>
  </si>
  <si>
    <t>WP1_A_7</t>
  </si>
  <si>
    <t>WP1_A_7_1</t>
  </si>
  <si>
    <t>WP1_A_7_2</t>
  </si>
  <si>
    <t>WP1_A_8</t>
  </si>
  <si>
    <t>WP1_A_9</t>
  </si>
  <si>
    <t>WP1_A_10</t>
  </si>
  <si>
    <t>1. 関数の処理に成功した後</t>
  </si>
  <si>
    <t>WP1_A_11</t>
  </si>
  <si>
    <t>データがcollection[transcript]に更新されること
progress : RAW_DATA</t>
  </si>
  <si>
    <t>2. 生のテキストをコレクションに取得する</t>
  </si>
  <si>
    <t>B.WP2</t>
  </si>
  <si>
    <t>white-paper-post-processing</t>
  </si>
  <si>
    <t>WP1 のトランスクリプトからテキストを取得する</t>
  </si>
  <si>
    <t>OpenAIによるテキストの正規化時間は30分以内で、正常に完了すること</t>
  </si>
  <si>
    <t>OpenAIによるテキストの正規化時間は30分以上で、例外タイムアウトがスローされる</t>
  </si>
  <si>
    <t>OpenAIによるテキストの正規化に失敗し (タイムアウトではなく)、例外がスローされる</t>
  </si>
  <si>
    <t>OpenAIによるテキストの正規化に失敗し (タイムアウトではなく)、例外がスローされない</t>
  </si>
  <si>
    <t>OpenAIによるテキストの正規化に成功した後</t>
  </si>
  <si>
    <t>データがcollection[usage_stat]に更新される</t>
  </si>
  <si>
    <t>データがcollection[transcript]に更新される</t>
  </si>
  <si>
    <t>データが[speaker_identification] に更新される</t>
  </si>
  <si>
    <t>from OpenAI</t>
  </si>
  <si>
    <t>identification</t>
  </si>
  <si>
    <t>1. MM1 のトランスクリプトからテキストを取得する</t>
  </si>
  <si>
    <t>WP2_B_1</t>
  </si>
  <si>
    <t>テキストの正規化に成功すること</t>
  </si>
  <si>
    <t>PROCESSED_DATA</t>
  </si>
  <si>
    <t xml:space="preserve">         time</t>
  </si>
  <si>
    <t>timestamp</t>
  </si>
  <si>
    <t>2. OpenAIによるテキストの正規化時間は30 分以内で成功する</t>
  </si>
  <si>
    <t xml:space="preserve">         user_id</t>
  </si>
  <si>
    <t>auto gen</t>
  </si>
  <si>
    <t xml:space="preserve">         conversation</t>
  </si>
  <si>
    <t>WP2_B_2</t>
  </si>
  <si>
    <t>テキストの正規化に失敗すること</t>
  </si>
  <si>
    <t>user_list</t>
  </si>
  <si>
    <t>all of speaker</t>
  </si>
  <si>
    <t>2. OpenAIによるテキストの正規化時間は30分以上で、例外タイムアウトがスローされる</t>
  </si>
  <si>
    <t>データがcollection [log]に更新される</t>
  </si>
  <si>
    <t>データがpoison queue[target]に更新される</t>
  </si>
  <si>
    <t xml:space="preserve">         name</t>
  </si>
  <si>
    <t>WP2_B_3</t>
  </si>
  <si>
    <t>2. OpenAIによるテキストの正規化に失敗し (タイムアウトではなく)、例外がスローされる</t>
  </si>
  <si>
    <t>WP2_B_4</t>
  </si>
  <si>
    <t>2. OpenAIによるテキストの正規化に失敗し (タイムアウトではなく)、例外がスローされない</t>
  </si>
  <si>
    <t>1. OpenAIによるテキストの正規化に成功した後</t>
  </si>
  <si>
    <t>WP2_B_5</t>
  </si>
  <si>
    <t>データがcollection[transcript]に更新されること。
progress : PROCESSED_DATA</t>
  </si>
  <si>
    <t>2. コレクションに書き込む</t>
  </si>
  <si>
    <t>データが[speaker_identification] に更新されること</t>
  </si>
  <si>
    <t>C.WP3</t>
  </si>
  <si>
    <t>white-paper-create-summary</t>
  </si>
  <si>
    <t>WP2でOpenAI処理後</t>
  </si>
  <si>
    <t>WP2からテキストを取得する</t>
  </si>
  <si>
    <t>OpenAIによる文字起こし(テキスト抽出）時間は30分以内で成功する</t>
  </si>
  <si>
    <t>OpenAIによる文字起こし時間は30分以上で、例外タイムアウトがスローされる</t>
  </si>
  <si>
    <t>OpenAIによる文字起こしに失敗し (タイムアウトではない) 、例外がスローされる</t>
  </si>
  <si>
    <t>OpenAIによる文字起こしに失敗し (タイムアウトではない) 、例外がスローされない</t>
  </si>
  <si>
    <t>OpenAIによる文字起こしに成功した後</t>
  </si>
  <si>
    <t>DBの内容は正しく更新されていますか？</t>
  </si>
  <si>
    <t>データがcollection [target]に更新される</t>
  </si>
  <si>
    <t>データがcollection [summary]に更新される</t>
  </si>
  <si>
    <t>IN_PROGRESS_SUMMARY</t>
  </si>
  <si>
    <t>key</t>
  </si>
  <si>
    <t>MM2でのOpenAI処理後</t>
  </si>
  <si>
    <t>WP3_D_1</t>
  </si>
  <si>
    <t>データがcollection[target]に更新されること。
status= IN_PROGRESS_SUMMARY</t>
  </si>
  <si>
    <t>user_id</t>
  </si>
  <si>
    <t>要約対象ID</t>
  </si>
  <si>
    <t>title</t>
  </si>
  <si>
    <t>summary_text</t>
  </si>
  <si>
    <t>Summary_ext</t>
  </si>
  <si>
    <t>1. MM2 からテキストを取得する</t>
  </si>
  <si>
    <t>WP3_D_2</t>
  </si>
  <si>
    <t>要約に成功すること</t>
  </si>
  <si>
    <t>Created datetime</t>
  </si>
  <si>
    <t>2. OpenAIによる文字起こし時間は30分以内で成功する</t>
  </si>
  <si>
    <t>Updated datetime</t>
  </si>
  <si>
    <t>Collection_name</t>
  </si>
  <si>
    <t>WP3_D_3</t>
  </si>
  <si>
    <t>アジェンダの抽出に失敗すること</t>
  </si>
  <si>
    <t>2. OpenAIによる文字起こし時間は30分以上で、例外タイムアウトがスローされる</t>
  </si>
  <si>
    <t>WP3_D_4</t>
  </si>
  <si>
    <t>2. OpenAIによる文字起こしに失敗し (タイムアウトではない) 、例外がスローされる</t>
  </si>
  <si>
    <t>WP3_D_5</t>
  </si>
  <si>
    <t>2. OpenAIによる文字起こしに失敗し (タイムアウトではない) 、例外がスローされない</t>
  </si>
  <si>
    <t>1. OpenAIによる文字起こしに成功した後</t>
  </si>
  <si>
    <t>WP3_D_6</t>
  </si>
  <si>
    <t>データがcollection[summary]に更新されること</t>
  </si>
  <si>
    <t>D.WP4</t>
  </si>
  <si>
    <t>white-paper-create-text</t>
  </si>
  <si>
    <t>WP3でOpenAIによる文字起こしの後</t>
  </si>
  <si>
    <t>WP3 から概要テキストを取得する</t>
  </si>
  <si>
    <t>OpenAI による情報処理は30分以内で成功する</t>
  </si>
  <si>
    <t>OpenAI による情報処理が30分以上で、例外タイムアウトがスローされる</t>
  </si>
  <si>
    <t>OpenAI による情報処理に失敗し(タイムアウトではない)、例外がスローされる</t>
  </si>
  <si>
    <t>OpenAI による情報処理に失敗し(タイムアウトではない)、例外がスローされない</t>
  </si>
  <si>
    <t>OpenAI 処理に成功した後</t>
  </si>
  <si>
    <t>データがcollection [usage_stat]に更新される</t>
  </si>
  <si>
    <t>データがcollection [white_paper]に更新される</t>
  </si>
  <si>
    <t>WP4_E_1</t>
  </si>
  <si>
    <t>データがcollection[target] に更新されること。
status : IN_PROGRESS_WHITE_PAPER</t>
  </si>
  <si>
    <t>sub_title</t>
  </si>
  <si>
    <t>1. WP3 から概要テキストを取得する</t>
  </si>
  <si>
    <t>WP4_E_2</t>
  </si>
  <si>
    <t>ホワイトペーパーのコンテンツの生成に成功すること</t>
  </si>
  <si>
    <t>overview</t>
  </si>
  <si>
    <t>2. OpenAI による情報処理は30分以内で成功する</t>
  </si>
  <si>
    <t xml:space="preserve">   image</t>
  </si>
  <si>
    <t>NULL</t>
  </si>
  <si>
    <t xml:space="preserve">   contents</t>
  </si>
  <si>
    <t>WP4_E_3</t>
  </si>
  <si>
    <t>アジェンダのデータの追加に失敗すること</t>
  </si>
  <si>
    <t>table_contents</t>
  </si>
  <si>
    <t>2. OpenAI による情報処理が30分以上で、例外タイムアウトがスローされる</t>
  </si>
  <si>
    <t>データがcollection[target]に更新される</t>
  </si>
  <si>
    <t>IN_PROGRESS_WHITE_PAPER</t>
  </si>
  <si>
    <t>main_text</t>
  </si>
  <si>
    <t>WP4_E_4</t>
  </si>
  <si>
    <t xml:space="preserve">   title</t>
  </si>
  <si>
    <t>2. OpenAI による情報処理に失敗し(タイムアウトではない)、例外がスローされる</t>
  </si>
  <si>
    <t xml:space="preserve">   time</t>
  </si>
  <si>
    <t>WP4_E_5</t>
  </si>
  <si>
    <t>contents</t>
  </si>
  <si>
    <t>2. OpenAI による情報処理に失敗し(タイムアウトではない)、例外がスローされない</t>
  </si>
  <si>
    <t>collecion_name</t>
  </si>
  <si>
    <t>collection name</t>
  </si>
  <si>
    <t>1. OpenAI 処理に成功した後</t>
  </si>
  <si>
    <t>WP4_E_6</t>
  </si>
  <si>
    <t>データがcollection[white_paper]に更新されること</t>
  </si>
  <si>
    <t>E.WP5</t>
  </si>
  <si>
    <t>white-paper-filter-images</t>
  </si>
  <si>
    <t>collection[target]からオリジナルビデオを取得する</t>
  </si>
  <si>
    <t>OpenCV、OpenAI の処理が30分以内で成功する</t>
  </si>
  <si>
    <t>OpenCV、OpenAI の処理が30分以上で、例外タイムアウトがスローされる</t>
  </si>
  <si>
    <t>OpenCV、OpenAI の処理に失敗し(タイムアウトではない) 、例外がスローされる</t>
  </si>
  <si>
    <t>OpenCV、OpenAI の処理に失敗し(タイムアウトではない) 、例外がスローされない</t>
  </si>
  <si>
    <t>OpenCV、OpenAI の処理に成功した後</t>
  </si>
  <si>
    <t>会議から画像やテキストの情報を取得し、ホワイトペーパーに変換する</t>
  </si>
  <si>
    <t>1.collection[target]からオリジナルビデオを取得する</t>
  </si>
  <si>
    <t>WP5_F_1</t>
  </si>
  <si>
    <t>画像の検索・選択・編集に成功すること</t>
  </si>
  <si>
    <t>2. OpenCV、OpenAI の処理が30分以内で成功する</t>
  </si>
  <si>
    <t>WP5_F_2</t>
  </si>
  <si>
    <t>画像の検索・選択・編集に失敗すること</t>
  </si>
  <si>
    <t>2. OpenCV、OpenAI の処理が30分以上で例外タイムアウトがスローされる</t>
  </si>
  <si>
    <t>WP5_F_3</t>
  </si>
  <si>
    <t>ID đối tượng</t>
  </si>
  <si>
    <t>2. OpenCV、OpenAI の処理に失敗し (タイムアウトではない) 、例外がスローされる</t>
  </si>
  <si>
    <t>WP5_F_4</t>
  </si>
  <si>
    <t>2. OpenCV、OpenAI の処理に失敗し (タイムアウトではない) 、例外がスローされない</t>
  </si>
  <si>
    <t>WP5_F_5</t>
  </si>
  <si>
    <t>データがcollection[white_paper] に更新されること</t>
  </si>
  <si>
    <t>time</t>
  </si>
  <si>
    <t>image</t>
  </si>
  <si>
    <t>WP5_F_6</t>
  </si>
  <si>
    <t>データがcollection[target]に更新されること
status : COMPLETE</t>
  </si>
  <si>
    <t>項番</t>
  </si>
  <si>
    <t>機能</t>
  </si>
  <si>
    <t>観点ID</t>
  </si>
  <si>
    <t xml:space="preserve">
評価観点</t>
  </si>
  <si>
    <t>正常
異常</t>
  </si>
  <si>
    <t>Điều kiện đánh giá</t>
  </si>
  <si>
    <t>Nội dung xác nhận</t>
  </si>
  <si>
    <t>開発評価結果</t>
  </si>
  <si>
    <t>ステータス評価結果</t>
  </si>
  <si>
    <t>バグ番号
開発環境</t>
  </si>
  <si>
    <t>バグ番号
ステージング環境</t>
  </si>
  <si>
    <t>備考</t>
  </si>
  <si>
    <t>1-1</t>
  </si>
  <si>
    <t>Nomal</t>
  </si>
  <si>
    <t>CM_D_1</t>
  </si>
  <si>
    <t>Tham chiếu sheet "Testcase_common"</t>
  </si>
  <si>
    <t>OK</t>
  </si>
  <si>
    <t>15-04-2025</t>
  </si>
  <si>
    <t>DaiHM</t>
  </si>
  <si>
    <t>ThuyNTP</t>
  </si>
  <si>
    <t>CM_D_2</t>
  </si>
  <si>
    <t>同上</t>
  </si>
  <si>
    <t>2-1</t>
  </si>
  <si>
    <t>CM_A_1</t>
  </si>
  <si>
    <t>CM_A_2</t>
  </si>
  <si>
    <t>CM_A_3</t>
  </si>
  <si>
    <t>NG</t>
  </si>
  <si>
    <t>1-2</t>
  </si>
  <si>
    <t>CM_B_1</t>
  </si>
  <si>
    <t>CM_B_2_2</t>
  </si>
  <si>
    <t>CM_B_3_2</t>
  </si>
  <si>
    <t>CM_B_4_2</t>
  </si>
  <si>
    <t>CM_B_5_2</t>
  </si>
  <si>
    <t>CM_B_6_2</t>
  </si>
  <si>
    <t>CM_B_7_2</t>
  </si>
  <si>
    <t>CM_B_8</t>
  </si>
  <si>
    <t>CM_B_9</t>
  </si>
  <si>
    <t>4-3</t>
  </si>
  <si>
    <t>CM_B_10</t>
  </si>
  <si>
    <t>CM_B_11</t>
  </si>
  <si>
    <t>CM_B_12</t>
  </si>
  <si>
    <t>4-4</t>
  </si>
  <si>
    <t>CM_B_2</t>
  </si>
  <si>
    <t>CM_B_3</t>
  </si>
  <si>
    <t>CM_B_4</t>
  </si>
  <si>
    <t>CM_B_5</t>
  </si>
  <si>
    <t>CM_B_6</t>
  </si>
  <si>
    <t>CM_B_7</t>
  </si>
  <si>
    <t>2-2</t>
  </si>
  <si>
    <t>4-1</t>
  </si>
  <si>
    <t>MM1_A_3</t>
  </si>
  <si>
    <t>Tham chiếu sheet "Testcase_Meeting-Minutes"</t>
  </si>
  <si>
    <t>MM1_A_7</t>
  </si>
  <si>
    <t>Normal</t>
  </si>
  <si>
    <t>MM2_B_1</t>
  </si>
  <si>
    <t>MM3_D_2</t>
  </si>
  <si>
    <t>MM4_E_1</t>
  </si>
  <si>
    <t>MM5_F_1</t>
  </si>
  <si>
    <t>MM5_F_5</t>
  </si>
  <si>
    <t>Tham chiếu sheet "Testcase_White-paper"</t>
  </si>
  <si>
    <t>Trường</t>
  </si>
  <si>
    <t>WP1_A_4_1</t>
  </si>
  <si>
    <t>WP1_A_8_1</t>
  </si>
  <si>
    <t>WP5_E_1</t>
  </si>
  <si>
    <t>WP5_E_5</t>
  </si>
  <si>
    <t>WP5_E_6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</si>
</sst>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mm/dd"/>
    <numFmt numFmtId="166" formatCode="m/d"/>
  </numFmts>
  <fonts count="11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FF0000"/>
      <name val="Arial"/>
    </font>
    <font>
      <b/>
      <sz val="11.0"/>
      <color rgb="FFFFFFFF"/>
      <name val="Arial"/>
    </font>
    <font>
      <b/>
      <sz val="11.0"/>
      <color rgb="FF0000FF"/>
      <name val="Arial"/>
    </font>
    <font>
      <color theme="1"/>
      <name val="Arial"/>
    </font>
    <font>
      <u/>
      <sz val="11.0"/>
      <color rgb="FF000000"/>
      <name val="Arial"/>
    </font>
    <font>
      <sz val="11.0"/>
      <color rgb="FF000000"/>
      <name val="Arial"/>
    </font>
    <font>
      <b/>
      <sz val="11.0"/>
      <color theme="1"/>
      <name val="Arial"/>
    </font>
    <font/>
    <font>
      <sz val="11.0"/>
      <color rgb="FFD8D8D8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00B0F0"/>
        <bgColor rgb="FF00B0F0"/>
      </patternFill>
    </fill>
    <fill>
      <patternFill patternType="solid">
        <fgColor rgb="FF99CCFF"/>
        <bgColor rgb="FF99CCFF"/>
      </patternFill>
    </fill>
    <fill>
      <patternFill patternType="solid">
        <fgColor rgb="FFA4C2F4"/>
        <bgColor rgb="FFA4C2F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/>
      <top/>
      <bottom/>
    </border>
    <border>
      <right/>
      <top/>
      <bottom/>
    </border>
    <border>
      <right style="thin">
        <color rgb="FF000000"/>
      </right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</border>
    <border>
      <left style="thin">
        <color rgb="FF000000"/>
      </left>
      <top/>
      <bottom/>
    </border>
    <border>
      <left/>
      <right/>
    </border>
    <border>
      <left/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  <bottom/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2" fillId="3" fontId="1" numFmtId="49" xfId="0" applyAlignment="1" applyBorder="1" applyFill="1" applyFont="1" applyNumberFormat="1">
      <alignment horizontal="left" readingOrder="0"/>
    </xf>
    <xf borderId="3" fillId="3" fontId="1" numFmtId="49" xfId="0" applyBorder="1" applyFont="1" applyNumberFormat="1"/>
    <xf borderId="2" fillId="3" fontId="1" numFmtId="49" xfId="0" applyAlignment="1" applyBorder="1" applyFont="1" applyNumberFormat="1">
      <alignment readingOrder="0"/>
    </xf>
    <xf borderId="4" fillId="4" fontId="1" numFmtId="49" xfId="0" applyAlignment="1" applyBorder="1" applyFill="1" applyFont="1" applyNumberFormat="1">
      <alignment horizontal="left" readingOrder="0"/>
    </xf>
    <xf borderId="5" fillId="4" fontId="1" numFmtId="49" xfId="0" applyAlignment="1" applyBorder="1" applyFont="1" applyNumberFormat="1">
      <alignment readingOrder="0"/>
    </xf>
    <xf borderId="5" fillId="4" fontId="1" numFmtId="49" xfId="0" applyBorder="1" applyFont="1" applyNumberFormat="1"/>
    <xf borderId="6" fillId="4" fontId="1" numFmtId="49" xfId="0" applyBorder="1" applyFont="1" applyNumberFormat="1"/>
    <xf borderId="7" fillId="0" fontId="1" numFmtId="49" xfId="0" applyAlignment="1" applyBorder="1" applyFont="1" applyNumberFormat="1">
      <alignment readingOrder="0"/>
    </xf>
    <xf borderId="8" fillId="4" fontId="1" numFmtId="49" xfId="0" applyAlignment="1" applyBorder="1" applyFont="1" applyNumberFormat="1">
      <alignment horizontal="left"/>
    </xf>
    <xf borderId="1" fillId="4" fontId="1" numFmtId="49" xfId="0" applyBorder="1" applyFont="1" applyNumberFormat="1"/>
    <xf borderId="9" fillId="4" fontId="1" numFmtId="49" xfId="0" applyBorder="1" applyFont="1" applyNumberFormat="1"/>
    <xf borderId="10" fillId="0" fontId="1" numFmtId="49" xfId="0" applyBorder="1" applyFont="1" applyNumberFormat="1"/>
    <xf borderId="8" fillId="4" fontId="1" numFmtId="49" xfId="0" applyAlignment="1" applyBorder="1" applyFont="1" applyNumberFormat="1">
      <alignment horizontal="left" readingOrder="0"/>
    </xf>
    <xf borderId="1" fillId="4" fontId="1" numFmtId="49" xfId="0" applyAlignment="1" applyBorder="1" applyFont="1" applyNumberFormat="1">
      <alignment readingOrder="0"/>
    </xf>
    <xf borderId="11" fillId="4" fontId="1" numFmtId="49" xfId="0" applyBorder="1" applyFont="1" applyNumberFormat="1"/>
    <xf borderId="10" fillId="0" fontId="1" numFmtId="49" xfId="0" applyAlignment="1" applyBorder="1" applyFont="1" applyNumberFormat="1">
      <alignment readingOrder="0"/>
    </xf>
    <xf borderId="12" fillId="4" fontId="1" numFmtId="49" xfId="0" applyBorder="1" applyFont="1" applyNumberFormat="1"/>
    <xf borderId="10" fillId="0" fontId="1" numFmtId="0" xfId="0" applyAlignment="1" applyBorder="1" applyFont="1">
      <alignment horizontal="left"/>
    </xf>
    <xf borderId="10" fillId="0" fontId="1" numFmtId="0" xfId="0" applyBorder="1" applyFont="1"/>
    <xf borderId="13" fillId="0" fontId="1" numFmtId="0" xfId="0" applyBorder="1" applyFont="1"/>
    <xf borderId="10" fillId="0" fontId="1" numFmtId="0" xfId="0" applyAlignment="1" applyBorder="1" applyFont="1">
      <alignment horizontal="left" readingOrder="0"/>
    </xf>
    <xf borderId="14" fillId="0" fontId="1" numFmtId="0" xfId="0" applyAlignment="1" applyBorder="1" applyFont="1">
      <alignment horizontal="left"/>
    </xf>
    <xf borderId="14" fillId="0" fontId="1" numFmtId="0" xfId="0" applyBorder="1" applyFont="1"/>
    <xf borderId="14" fillId="0" fontId="1" numFmtId="49" xfId="0" applyBorder="1" applyFont="1" applyNumberFormat="1"/>
    <xf borderId="4" fillId="5" fontId="3" numFmtId="49" xfId="0" applyAlignment="1" applyBorder="1" applyFill="1" applyFont="1" applyNumberFormat="1">
      <alignment readingOrder="0"/>
    </xf>
    <xf borderId="6" fillId="5" fontId="1" numFmtId="49" xfId="0" applyBorder="1" applyFont="1" applyNumberFormat="1"/>
    <xf borderId="5" fillId="5" fontId="1" numFmtId="49" xfId="0" applyBorder="1" applyFont="1" applyNumberFormat="1"/>
    <xf borderId="2" fillId="6" fontId="3" numFmtId="0" xfId="0" applyAlignment="1" applyBorder="1" applyFill="1" applyFont="1">
      <alignment readingOrder="0"/>
    </xf>
    <xf borderId="3" fillId="6" fontId="3" numFmtId="164" xfId="0" applyAlignment="1" applyBorder="1" applyFont="1" applyNumberFormat="1">
      <alignment horizontal="right" readingOrder="0"/>
    </xf>
    <xf borderId="3" fillId="6" fontId="3" numFmtId="0" xfId="0" applyAlignment="1" applyBorder="1" applyFont="1">
      <alignment readingOrder="0"/>
    </xf>
    <xf borderId="3" fillId="6" fontId="1" numFmtId="0" xfId="0" applyBorder="1" applyFont="1"/>
    <xf borderId="15" fillId="6" fontId="1" numFmtId="0" xfId="0" applyBorder="1" applyFont="1"/>
    <xf borderId="7" fillId="0" fontId="4" numFmtId="0" xfId="0" applyAlignment="1" applyBorder="1" applyFont="1">
      <alignment readingOrder="0" vertical="bottom"/>
    </xf>
    <xf borderId="14" fillId="0" fontId="5" numFmtId="0" xfId="0" applyAlignment="1" applyBorder="1" applyFont="1">
      <alignment vertical="bottom"/>
    </xf>
    <xf borderId="16" fillId="0" fontId="5" numFmtId="0" xfId="0" applyAlignment="1" applyBorder="1" applyFont="1">
      <alignment vertical="bottom"/>
    </xf>
    <xf borderId="17" fillId="5" fontId="1" numFmtId="49" xfId="0" applyBorder="1" applyFont="1" applyNumberFormat="1"/>
    <xf borderId="18" fillId="5" fontId="1" numFmtId="49" xfId="0" applyBorder="1" applyFont="1" applyNumberFormat="1"/>
    <xf borderId="8" fillId="5" fontId="1" numFmtId="49" xfId="0" applyBorder="1" applyFont="1" applyNumberFormat="1"/>
    <xf borderId="1" fillId="5" fontId="1" numFmtId="49" xfId="0" applyBorder="1" applyFont="1" applyNumberFormat="1"/>
    <xf borderId="19" fillId="5" fontId="1" numFmtId="49" xfId="0" applyBorder="1" applyFont="1" applyNumberFormat="1"/>
    <xf borderId="17" fillId="6" fontId="3" numFmtId="0" xfId="0" applyAlignment="1" applyBorder="1" applyFont="1">
      <alignment readingOrder="0"/>
    </xf>
    <xf borderId="19" fillId="6" fontId="1" numFmtId="0" xfId="0" applyBorder="1" applyFont="1"/>
    <xf borderId="19" fillId="6" fontId="3" numFmtId="0" xfId="0" applyAlignment="1" applyBorder="1" applyFont="1">
      <alignment readingOrder="0"/>
    </xf>
    <xf borderId="18" fillId="6" fontId="1" numFmtId="0" xfId="0" applyBorder="1" applyFont="1"/>
    <xf borderId="10" fillId="0" fontId="1" numFmtId="0" xfId="0" applyAlignment="1" applyBorder="1" applyFont="1">
      <alignment vertical="bottom"/>
    </xf>
    <xf borderId="0" fillId="0" fontId="1" numFmtId="0" xfId="0" applyAlignment="1" applyFont="1">
      <alignment vertical="top"/>
    </xf>
    <xf borderId="13" fillId="0" fontId="5" numFmtId="0" xfId="0" applyAlignment="1" applyBorder="1" applyFont="1">
      <alignment vertical="top"/>
    </xf>
    <xf borderId="7" fillId="0" fontId="1" numFmtId="0" xfId="0" applyAlignment="1" applyBorder="1" applyFont="1">
      <alignment horizontal="left" readingOrder="0"/>
    </xf>
    <xf borderId="16" fillId="0" fontId="1" numFmtId="0" xfId="0" applyBorder="1" applyFont="1"/>
    <xf borderId="4" fillId="4" fontId="1" numFmtId="0" xfId="0" applyAlignment="1" applyBorder="1" applyFont="1">
      <alignment vertical="center"/>
    </xf>
    <xf borderId="6" fillId="4" fontId="1" numFmtId="0" xfId="0" applyBorder="1" applyFont="1"/>
    <xf borderId="4" fillId="4" fontId="1" numFmtId="0" xfId="0" applyBorder="1" applyFont="1"/>
    <xf borderId="5" fillId="4" fontId="1" numFmtId="0" xfId="0" applyBorder="1" applyFont="1"/>
    <xf borderId="4" fillId="7" fontId="1" numFmtId="164" xfId="0" applyAlignment="1" applyBorder="1" applyFill="1" applyFont="1" applyNumberFormat="1">
      <alignment readingOrder="0" vertical="center"/>
    </xf>
    <xf borderId="1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6" numFmtId="0" xfId="0" applyBorder="1" applyFont="1"/>
    <xf borderId="10" fillId="0" fontId="1" numFmtId="0" xfId="0" applyAlignment="1" applyBorder="1" applyFont="1">
      <alignment readingOrder="0"/>
    </xf>
    <xf borderId="8" fillId="4" fontId="1" numFmtId="0" xfId="0" applyBorder="1" applyFont="1"/>
    <xf borderId="9" fillId="4" fontId="1" numFmtId="0" xfId="0" applyBorder="1" applyFont="1"/>
    <xf borderId="1" fillId="4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22" fillId="0" fontId="1" numFmtId="0" xfId="0" applyBorder="1" applyFont="1"/>
    <xf borderId="17" fillId="4" fontId="1" numFmtId="0" xfId="0" applyBorder="1" applyFont="1"/>
    <xf borderId="18" fillId="4" fontId="1" numFmtId="0" xfId="0" applyBorder="1" applyFont="1"/>
    <xf borderId="19" fillId="4" fontId="1" numFmtId="0" xfId="0" applyBorder="1" applyFont="1"/>
    <xf borderId="10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8" fillId="4" fontId="1" numFmtId="49" xfId="0" applyAlignment="1" applyBorder="1" applyFont="1" applyNumberFormat="1">
      <alignment readingOrder="0"/>
    </xf>
    <xf borderId="0" fillId="0" fontId="1" numFmtId="0" xfId="0" applyAlignment="1" applyFont="1">
      <alignment vertical="bottom"/>
    </xf>
    <xf borderId="13" fillId="0" fontId="5" numFmtId="0" xfId="0" applyAlignment="1" applyBorder="1" applyFont="1">
      <alignment vertical="bottom"/>
    </xf>
    <xf borderId="20" fillId="0" fontId="1" numFmtId="0" xfId="0" applyAlignment="1" applyBorder="1" applyFont="1">
      <alignment horizontal="left"/>
    </xf>
    <xf borderId="7" fillId="0" fontId="1" numFmtId="0" xfId="0" applyAlignment="1" applyBorder="1" applyFont="1">
      <alignment readingOrder="0" vertical="top"/>
    </xf>
    <xf borderId="20" fillId="0" fontId="1" numFmtId="0" xfId="0" applyAlignment="1" applyBorder="1" applyFont="1">
      <alignment vertical="bottom"/>
    </xf>
    <xf borderId="21" fillId="0" fontId="1" numFmtId="0" xfId="0" applyAlignment="1" applyBorder="1" applyFont="1">
      <alignment vertical="bottom"/>
    </xf>
    <xf borderId="22" fillId="0" fontId="5" numFmtId="0" xfId="0" applyAlignment="1" applyBorder="1" applyFont="1">
      <alignment vertical="bottom"/>
    </xf>
    <xf borderId="8" fillId="7" fontId="1" numFmtId="164" xfId="0" applyAlignment="1" applyBorder="1" applyFont="1" applyNumberFormat="1">
      <alignment readingOrder="0" vertical="center"/>
    </xf>
    <xf borderId="13" fillId="0" fontId="1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7" fillId="0" fontId="7" numFmtId="0" xfId="0" applyAlignment="1" applyBorder="1" applyFont="1">
      <alignment readingOrder="0"/>
    </xf>
    <xf borderId="0" fillId="0" fontId="1" numFmtId="0" xfId="0" applyAlignment="1" applyFont="1">
      <alignment readingOrder="0"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top"/>
    </xf>
    <xf borderId="10" fillId="0" fontId="5" numFmtId="0" xfId="0" applyAlignment="1" applyBorder="1" applyFont="1">
      <alignment vertical="bottom"/>
    </xf>
    <xf borderId="10" fillId="0" fontId="7" numFmtId="0" xfId="0" applyBorder="1" applyFont="1"/>
    <xf borderId="20" fillId="0" fontId="5" numFmtId="0" xfId="0" applyAlignment="1" applyBorder="1" applyFont="1">
      <alignment vertical="bottom"/>
    </xf>
    <xf borderId="21" fillId="0" fontId="5" numFmtId="0" xfId="0" applyAlignment="1" applyBorder="1" applyFont="1">
      <alignment vertical="bottom"/>
    </xf>
    <xf borderId="14" fillId="0" fontId="7" numFmtId="0" xfId="0" applyBorder="1" applyFont="1"/>
    <xf borderId="0" fillId="0" fontId="7" numFmtId="0" xfId="0" applyFont="1"/>
    <xf borderId="7" fillId="0" fontId="1" numFmtId="0" xfId="0" applyAlignment="1" applyBorder="1" applyFont="1">
      <alignment readingOrder="0" vertical="center"/>
    </xf>
    <xf borderId="0" fillId="0" fontId="4" numFmtId="0" xfId="0" applyFont="1"/>
    <xf borderId="0" fillId="0" fontId="7" numFmtId="0" xfId="0" applyAlignment="1" applyFont="1">
      <alignment vertical="top"/>
    </xf>
    <xf borderId="7" fillId="0" fontId="7" numFmtId="0" xfId="0" applyAlignment="1" applyBorder="1" applyFont="1">
      <alignment readingOrder="0" vertical="center"/>
    </xf>
    <xf borderId="4" fillId="4" fontId="1" numFmtId="49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8" fillId="4" fontId="1" numFmtId="0" xfId="0" applyAlignment="1" applyBorder="1" applyFont="1">
      <alignment vertical="center"/>
    </xf>
    <xf borderId="14" fillId="0" fontId="1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0" fillId="0" fontId="2" numFmtId="0" xfId="0" applyFont="1"/>
    <xf borderId="8" fillId="4" fontId="1" numFmtId="49" xfId="0" applyBorder="1" applyFont="1" applyNumberFormat="1"/>
    <xf borderId="4" fillId="7" fontId="1" numFmtId="164" xfId="0" applyAlignment="1" applyBorder="1" applyFont="1" applyNumberFormat="1">
      <alignment readingOrder="0"/>
    </xf>
    <xf borderId="21" fillId="0" fontId="7" numFmtId="0" xfId="0" applyBorder="1" applyFont="1"/>
    <xf borderId="14" fillId="0" fontId="7" numFmtId="0" xfId="0" applyAlignment="1" applyBorder="1" applyFont="1">
      <alignment readingOrder="0"/>
    </xf>
    <xf borderId="1" fillId="4" fontId="7" numFmtId="0" xfId="0" applyBorder="1" applyFont="1"/>
    <xf borderId="0" fillId="0" fontId="1" numFmtId="0" xfId="0" applyAlignment="1" applyFont="1">
      <alignment horizontal="left"/>
    </xf>
    <xf borderId="4" fillId="3" fontId="1" numFmtId="49" xfId="0" applyAlignment="1" applyBorder="1" applyFont="1" applyNumberFormat="1">
      <alignment readingOrder="0"/>
    </xf>
    <xf borderId="5" fillId="3" fontId="1" numFmtId="49" xfId="0" applyBorder="1" applyFont="1" applyNumberFormat="1"/>
    <xf borderId="1" fillId="4" fontId="7" numFmtId="0" xfId="0" applyAlignment="1" applyBorder="1" applyFont="1">
      <alignment readingOrder="0"/>
    </xf>
    <xf borderId="23" fillId="4" fontId="1" numFmtId="49" xfId="0" applyAlignment="1" applyBorder="1" applyFont="1" applyNumberFormat="1">
      <alignment readingOrder="0"/>
    </xf>
    <xf borderId="24" fillId="4" fontId="1" numFmtId="49" xfId="0" applyBorder="1" applyFont="1" applyNumberFormat="1"/>
    <xf borderId="25" fillId="4" fontId="1" numFmtId="49" xfId="0" applyAlignment="1" applyBorder="1" applyFont="1" applyNumberFormat="1">
      <alignment readingOrder="0"/>
    </xf>
    <xf borderId="26" fillId="4" fontId="1" numFmtId="49" xfId="0" applyAlignment="1" applyBorder="1" applyFont="1" applyNumberFormat="1">
      <alignment readingOrder="0"/>
    </xf>
    <xf borderId="10" fillId="0" fontId="4" numFmtId="0" xfId="0" applyBorder="1" applyFont="1"/>
    <xf borderId="0" fillId="0" fontId="2" numFmtId="0" xfId="0" applyAlignment="1" applyFont="1">
      <alignment vertical="top"/>
    </xf>
    <xf borderId="0" fillId="0" fontId="1" numFmtId="0" xfId="0" applyAlignment="1" applyFont="1">
      <alignment vertical="top"/>
    </xf>
    <xf borderId="10" fillId="0" fontId="1" numFmtId="49" xfId="0" applyAlignment="1" applyBorder="1" applyFont="1" applyNumberFormat="1">
      <alignment vertical="bottom"/>
    </xf>
    <xf borderId="0" fillId="0" fontId="5" numFmtId="49" xfId="0" applyAlignment="1" applyFont="1" applyNumberFormat="1">
      <alignment vertical="bottom"/>
    </xf>
    <xf borderId="10" fillId="0" fontId="5" numFmtId="49" xfId="0" applyAlignment="1" applyBorder="1" applyFont="1" applyNumberFormat="1">
      <alignment vertical="bottom"/>
    </xf>
    <xf borderId="0" fillId="0" fontId="1" numFmtId="49" xfId="0" applyAlignment="1" applyFont="1" applyNumberFormat="1">
      <alignment vertical="bottom"/>
    </xf>
    <xf borderId="1" fillId="4" fontId="5" numFmtId="49" xfId="0" applyAlignment="1" applyBorder="1" applyFont="1" applyNumberFormat="1">
      <alignment vertical="bottom"/>
    </xf>
    <xf borderId="10" fillId="0" fontId="1" numFmtId="0" xfId="0" applyAlignment="1" applyBorder="1" applyFont="1">
      <alignment horizontal="right" readingOrder="0"/>
    </xf>
    <xf borderId="20" fillId="0" fontId="1" numFmtId="49" xfId="0" applyBorder="1" applyFont="1" applyNumberFormat="1"/>
    <xf borderId="0" fillId="0" fontId="1" numFmtId="49" xfId="0" applyFont="1" applyNumberFormat="1"/>
    <xf borderId="27" fillId="8" fontId="8" numFmtId="0" xfId="0" applyAlignment="1" applyBorder="1" applyFill="1" applyFont="1">
      <alignment horizontal="center" readingOrder="0" shrinkToFit="0" vertical="bottom" wrapText="1"/>
    </xf>
    <xf borderId="28" fillId="8" fontId="8" numFmtId="0" xfId="0" applyAlignment="1" applyBorder="1" applyFont="1">
      <alignment horizontal="center" readingOrder="0" shrinkToFit="0" vertical="bottom" wrapText="1"/>
    </xf>
    <xf borderId="29" fillId="0" fontId="9" numFmtId="0" xfId="0" applyBorder="1" applyFont="1"/>
    <xf borderId="30" fillId="8" fontId="8" numFmtId="0" xfId="0" applyAlignment="1" applyBorder="1" applyFont="1">
      <alignment horizontal="center" readingOrder="0" shrinkToFit="0" vertical="bottom" wrapText="1"/>
    </xf>
    <xf borderId="30" fillId="9" fontId="8" numFmtId="0" xfId="0" applyAlignment="1" applyBorder="1" applyFill="1" applyFont="1">
      <alignment horizontal="center" readingOrder="0" shrinkToFit="0" vertical="bottom" wrapText="1"/>
    </xf>
    <xf borderId="30" fillId="0" fontId="8" numFmtId="0" xfId="0" applyAlignment="1" applyBorder="1" applyFont="1">
      <alignment horizontal="center" shrinkToFit="0" vertical="bottom" wrapText="1"/>
    </xf>
    <xf borderId="31" fillId="8" fontId="8" numFmtId="0" xfId="0" applyAlignment="1" applyBorder="1" applyFont="1">
      <alignment horizontal="center" readingOrder="0" shrinkToFit="0" vertical="bottom" wrapText="1"/>
    </xf>
    <xf borderId="32" fillId="8" fontId="5" numFmtId="0" xfId="0" applyAlignment="1" applyBorder="1" applyFont="1">
      <alignment vertical="bottom"/>
    </xf>
    <xf borderId="33" fillId="8" fontId="5" numFmtId="0" xfId="0" applyAlignment="1" applyBorder="1" applyFont="1">
      <alignment vertical="bottom"/>
    </xf>
    <xf borderId="32" fillId="0" fontId="9" numFmtId="0" xfId="0" applyBorder="1" applyFont="1"/>
    <xf borderId="33" fillId="0" fontId="9" numFmtId="0" xfId="0" applyBorder="1" applyFont="1"/>
    <xf borderId="0" fillId="8" fontId="5" numFmtId="0" xfId="0" applyAlignment="1" applyFont="1">
      <alignment vertical="bottom"/>
    </xf>
    <xf borderId="34" fillId="8" fontId="8" numFmtId="0" xfId="0" applyAlignment="1" applyBorder="1" applyFont="1">
      <alignment horizontal="center" readingOrder="0" shrinkToFit="0" vertical="bottom" wrapText="1"/>
    </xf>
    <xf borderId="35" fillId="8" fontId="8" numFmtId="0" xfId="0" applyAlignment="1" applyBorder="1" applyFont="1">
      <alignment horizontal="center" readingOrder="0" shrinkToFit="0" vertical="bottom" wrapText="1"/>
    </xf>
    <xf borderId="36" fillId="8" fontId="8" numFmtId="0" xfId="0" applyAlignment="1" applyBorder="1" applyFont="1">
      <alignment horizontal="center" readingOrder="0" shrinkToFit="0" vertical="bottom" wrapText="1"/>
    </xf>
    <xf borderId="37" fillId="0" fontId="9" numFmtId="0" xfId="0" applyBorder="1" applyFont="1"/>
    <xf borderId="38" fillId="0" fontId="9" numFmtId="0" xfId="0" applyBorder="1" applyFont="1"/>
    <xf borderId="39" fillId="0" fontId="1" numFmtId="0" xfId="0" applyAlignment="1" applyBorder="1" applyFont="1">
      <alignment shrinkToFit="0" wrapText="1"/>
    </xf>
    <xf borderId="39" fillId="0" fontId="1" numFmtId="0" xfId="0" applyAlignment="1" applyBorder="1" applyFont="1">
      <alignment shrinkToFit="0" vertical="top" wrapText="1"/>
    </xf>
    <xf borderId="39" fillId="0" fontId="5" numFmtId="0" xfId="0" applyBorder="1" applyFont="1"/>
    <xf quotePrefix="1" borderId="39" fillId="0" fontId="1" numFmtId="49" xfId="0" applyAlignment="1" applyBorder="1" applyFont="1" applyNumberFormat="1">
      <alignment shrinkToFit="0" wrapText="1"/>
    </xf>
    <xf borderId="40" fillId="0" fontId="1" numFmtId="0" xfId="0" applyAlignment="1" applyBorder="1" applyFont="1">
      <alignment shrinkToFit="0" wrapText="1"/>
    </xf>
    <xf borderId="41" fillId="0" fontId="1" numFmtId="0" xfId="0" applyAlignment="1" applyBorder="1" applyFont="1">
      <alignment shrinkToFit="0" wrapText="1"/>
    </xf>
    <xf borderId="42" fillId="0" fontId="1" numFmtId="0" xfId="0" applyAlignment="1" applyBorder="1" applyFont="1">
      <alignment shrinkToFit="0" wrapText="1"/>
    </xf>
    <xf borderId="42" fillId="0" fontId="5" numFmtId="0" xfId="0" applyBorder="1" applyFont="1"/>
    <xf borderId="42" fillId="0" fontId="5" numFmtId="165" xfId="0" applyBorder="1" applyFont="1" applyNumberFormat="1"/>
    <xf borderId="42" fillId="0" fontId="5" numFmtId="166" xfId="0" applyBorder="1" applyFont="1" applyNumberFormat="1"/>
    <xf borderId="43" fillId="0" fontId="5" numFmtId="0" xfId="0" applyBorder="1" applyFont="1"/>
    <xf borderId="44" fillId="0" fontId="5" numFmtId="0" xfId="0" applyBorder="1" applyFont="1"/>
    <xf borderId="44" fillId="0" fontId="9" numFmtId="0" xfId="0" applyBorder="1" applyFont="1"/>
    <xf borderId="45" fillId="0" fontId="9" numFmtId="0" xfId="0" applyBorder="1" applyFont="1"/>
    <xf borderId="46" fillId="0" fontId="10" numFmtId="0" xfId="0" applyAlignment="1" applyBorder="1" applyFont="1">
      <alignment shrinkToFit="0" vertical="top" wrapText="1"/>
    </xf>
    <xf borderId="39" fillId="0" fontId="10" numFmtId="0" xfId="0" applyAlignment="1" applyBorder="1" applyFont="1">
      <alignment shrinkToFit="0" wrapText="1"/>
    </xf>
    <xf borderId="39" fillId="0" fontId="5" numFmtId="0" xfId="0" applyAlignment="1" applyBorder="1" applyFont="1">
      <alignment vertical="top"/>
    </xf>
    <xf borderId="39" fillId="0" fontId="1" numFmtId="0" xfId="0" applyAlignment="1" applyBorder="1" applyFont="1">
      <alignment vertical="bottom"/>
    </xf>
    <xf borderId="39" fillId="0" fontId="1" numFmtId="49" xfId="0" applyAlignment="1" applyBorder="1" applyFont="1" applyNumberFormat="1">
      <alignment shrinkToFit="0" wrapText="1"/>
    </xf>
    <xf borderId="16" fillId="0" fontId="1" numFmtId="0" xfId="0" applyBorder="1" applyFont="1"/>
    <xf borderId="47" fillId="0" fontId="5" numFmtId="0" xfId="0" applyBorder="1" applyFont="1"/>
    <xf borderId="47" fillId="0" fontId="9" numFmtId="0" xfId="0" applyBorder="1" applyFont="1"/>
    <xf borderId="48" fillId="0" fontId="9" numFmtId="0" xfId="0" applyBorder="1" applyFont="1"/>
    <xf borderId="49" fillId="0" fontId="1" numFmtId="0" xfId="0" applyBorder="1" applyFont="1"/>
    <xf borderId="45" fillId="0" fontId="5" numFmtId="0" xfId="0" applyBorder="1" applyFont="1"/>
    <xf borderId="16" fillId="0" fontId="1" numFmtId="0" xfId="0" applyAlignment="1" applyBorder="1" applyFont="1">
      <alignment vertical="bottom"/>
    </xf>
    <xf borderId="41" fillId="0" fontId="1" numFmtId="0" xfId="0" applyAlignment="1" applyBorder="1" applyFont="1">
      <alignment shrinkToFit="0" vertical="bottom" wrapText="1"/>
    </xf>
    <xf borderId="42" fillId="0" fontId="1" numFmtId="0" xfId="0" applyAlignment="1" applyBorder="1" applyFont="1">
      <alignment shrinkToFit="0" vertical="bottom" wrapText="1"/>
    </xf>
    <xf borderId="49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6" width="12.63"/>
    <col customWidth="1" min="7" max="7" width="45.25"/>
    <col customWidth="1" min="11" max="11" width="34.63"/>
    <col customWidth="1" min="15" max="15" width="42.5"/>
    <col customWidth="1" min="26" max="26" width="16.88"/>
    <col customWidth="1" min="29" max="29" width="16.88"/>
    <col customWidth="1" min="32" max="32" width="2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 ht="15.75" customHeight="1">
      <c r="A3" s="4" t="s">
        <v>1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ht="15.75" customHeight="1" outlineLevel="1">
      <c r="A4" s="3"/>
      <c r="B4" s="6" t="s">
        <v>3</v>
      </c>
      <c r="C4" s="7"/>
      <c r="D4" s="7"/>
      <c r="E4" s="7"/>
      <c r="F4" s="7"/>
      <c r="G4" s="7"/>
      <c r="H4" s="8" t="s">
        <v>4</v>
      </c>
      <c r="I4" s="7"/>
      <c r="J4" s="7"/>
      <c r="K4" s="7"/>
      <c r="L4" s="7"/>
      <c r="M4" s="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ht="15.75" customHeight="1" outlineLevel="1">
      <c r="A5" s="3"/>
      <c r="B5" s="9" t="s">
        <v>5</v>
      </c>
      <c r="C5" s="10" t="s">
        <v>6</v>
      </c>
      <c r="D5" s="11"/>
      <c r="E5" s="11"/>
      <c r="F5" s="11"/>
      <c r="G5" s="12"/>
      <c r="H5" s="13" t="s">
        <v>7</v>
      </c>
      <c r="I5" s="11"/>
      <c r="J5" s="11"/>
      <c r="K5" s="11"/>
      <c r="L5" s="3"/>
      <c r="M5" s="1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 ht="15.75" customHeight="1" outlineLevel="1">
      <c r="A6" s="3"/>
      <c r="B6" s="14"/>
      <c r="C6" s="4" t="s">
        <v>8</v>
      </c>
      <c r="D6" s="15"/>
      <c r="E6" s="15"/>
      <c r="F6" s="15"/>
      <c r="G6" s="16"/>
      <c r="H6" s="17"/>
      <c r="I6" s="15"/>
      <c r="J6" s="15"/>
      <c r="K6" s="15"/>
      <c r="L6" s="3"/>
      <c r="M6" s="16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ht="17.25" customHeight="1" outlineLevel="1">
      <c r="A7" s="3"/>
      <c r="B7" s="18" t="s">
        <v>9</v>
      </c>
      <c r="C7" s="19" t="s">
        <v>10</v>
      </c>
      <c r="D7" s="15"/>
      <c r="E7" s="15"/>
      <c r="F7" s="15"/>
      <c r="G7" s="20"/>
      <c r="H7" s="21" t="s">
        <v>7</v>
      </c>
      <c r="I7" s="22"/>
      <c r="J7" s="15"/>
      <c r="K7" s="15"/>
      <c r="L7" s="3"/>
      <c r="M7" s="16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 ht="15.75" customHeight="1" outlineLevel="1">
      <c r="A8" s="3"/>
      <c r="B8" s="14"/>
      <c r="C8" s="4" t="s">
        <v>8</v>
      </c>
      <c r="D8" s="15"/>
      <c r="E8" s="15"/>
      <c r="F8" s="15"/>
      <c r="G8" s="20"/>
      <c r="H8" s="17"/>
      <c r="I8" s="22"/>
      <c r="J8" s="15"/>
      <c r="K8" s="15"/>
      <c r="L8" s="3"/>
      <c r="M8" s="1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 ht="15.75" customHeight="1" outlineLevel="1">
      <c r="A9" s="3"/>
      <c r="B9" s="18" t="s">
        <v>11</v>
      </c>
      <c r="C9" s="19" t="s">
        <v>12</v>
      </c>
      <c r="D9" s="15"/>
      <c r="E9" s="15"/>
      <c r="F9" s="15"/>
      <c r="G9" s="20"/>
      <c r="H9" s="21" t="s">
        <v>7</v>
      </c>
      <c r="I9" s="22"/>
      <c r="J9" s="15"/>
      <c r="K9" s="15"/>
      <c r="L9" s="3"/>
      <c r="M9" s="1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 ht="15.75" customHeight="1" outlineLevel="1">
      <c r="A10" s="3"/>
      <c r="B10" s="14"/>
      <c r="C10" s="4" t="s">
        <v>8</v>
      </c>
      <c r="D10" s="15"/>
      <c r="E10" s="15"/>
      <c r="F10" s="15"/>
      <c r="G10" s="20"/>
      <c r="H10" s="17"/>
      <c r="I10" s="22"/>
      <c r="J10" s="15"/>
      <c r="K10" s="15"/>
      <c r="L10" s="3"/>
      <c r="M10" s="1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 ht="15.75" customHeight="1" outlineLevel="1">
      <c r="A11" s="3"/>
      <c r="B11" s="18" t="s">
        <v>13</v>
      </c>
      <c r="C11" s="19" t="s">
        <v>14</v>
      </c>
      <c r="D11" s="15"/>
      <c r="E11" s="15"/>
      <c r="F11" s="15"/>
      <c r="G11" s="20"/>
      <c r="H11" s="21" t="s">
        <v>7</v>
      </c>
      <c r="I11" s="22"/>
      <c r="J11" s="15"/>
      <c r="K11" s="15"/>
      <c r="L11" s="3"/>
      <c r="M11" s="1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 ht="15.75" customHeight="1" outlineLevel="1">
      <c r="A12" s="3"/>
      <c r="B12" s="23"/>
      <c r="C12" s="4" t="s">
        <v>15</v>
      </c>
      <c r="D12" s="3"/>
      <c r="E12" s="3"/>
      <c r="F12" s="3"/>
      <c r="G12" s="3"/>
      <c r="H12" s="24"/>
      <c r="I12" s="3"/>
      <c r="J12" s="3"/>
      <c r="K12" s="3"/>
      <c r="L12" s="3"/>
      <c r="M12" s="2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 ht="15.75" customHeight="1" outlineLevel="1">
      <c r="A13" s="3"/>
      <c r="B13" s="26">
        <v>5.0</v>
      </c>
      <c r="C13" s="19" t="s">
        <v>14</v>
      </c>
      <c r="D13" s="3"/>
      <c r="E13" s="3"/>
      <c r="F13" s="3"/>
      <c r="G13" s="3"/>
      <c r="H13" s="21" t="s">
        <v>7</v>
      </c>
      <c r="I13" s="3"/>
      <c r="J13" s="3"/>
      <c r="K13" s="3"/>
      <c r="L13" s="3"/>
      <c r="M13" s="2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ht="15.75" customHeight="1" outlineLevel="1">
      <c r="A14" s="3"/>
      <c r="B14" s="23"/>
      <c r="C14" s="4" t="s">
        <v>16</v>
      </c>
      <c r="D14" s="3"/>
      <c r="E14" s="3"/>
      <c r="F14" s="3"/>
      <c r="G14" s="3"/>
      <c r="H14" s="24"/>
      <c r="I14" s="3"/>
      <c r="J14" s="3"/>
      <c r="K14" s="3"/>
      <c r="L14" s="3"/>
      <c r="M14" s="2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 ht="15.75" customHeight="1" outlineLevel="1">
      <c r="A15" s="3"/>
      <c r="B15" s="26">
        <v>6.0</v>
      </c>
      <c r="C15" s="19" t="s">
        <v>14</v>
      </c>
      <c r="D15" s="3"/>
      <c r="E15" s="3"/>
      <c r="F15" s="3"/>
      <c r="G15" s="3"/>
      <c r="H15" s="21" t="s">
        <v>7</v>
      </c>
      <c r="I15" s="3"/>
      <c r="J15" s="3"/>
      <c r="K15" s="3"/>
      <c r="L15" s="3"/>
      <c r="M15" s="2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ht="15.75" customHeight="1" outlineLevel="1">
      <c r="A16" s="3"/>
      <c r="B16" s="23"/>
      <c r="C16" s="4" t="s">
        <v>17</v>
      </c>
      <c r="D16" s="3"/>
      <c r="E16" s="3"/>
      <c r="F16" s="3"/>
      <c r="G16" s="3"/>
      <c r="H16" s="24"/>
      <c r="I16" s="3"/>
      <c r="J16" s="3"/>
      <c r="K16" s="3"/>
      <c r="L16" s="3"/>
      <c r="M16" s="2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</row>
    <row r="17" ht="15.75" customHeight="1" outlineLevel="1">
      <c r="A17" s="3"/>
      <c r="B17" s="26">
        <v>7.0</v>
      </c>
      <c r="C17" s="19" t="s">
        <v>14</v>
      </c>
      <c r="D17" s="3"/>
      <c r="E17" s="3"/>
      <c r="F17" s="3"/>
      <c r="G17" s="3"/>
      <c r="H17" s="21" t="s">
        <v>7</v>
      </c>
      <c r="I17" s="3"/>
      <c r="J17" s="3"/>
      <c r="K17" s="3"/>
      <c r="L17" s="3"/>
      <c r="M17" s="2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</row>
    <row r="18" ht="15.75" customHeight="1" outlineLevel="1">
      <c r="A18" s="3"/>
      <c r="B18" s="23"/>
      <c r="C18" s="4" t="s">
        <v>18</v>
      </c>
      <c r="D18" s="3"/>
      <c r="E18" s="3"/>
      <c r="F18" s="3"/>
      <c r="G18" s="3"/>
      <c r="H18" s="24"/>
      <c r="I18" s="3"/>
      <c r="J18" s="3"/>
      <c r="K18" s="3"/>
      <c r="L18" s="3"/>
      <c r="M18" s="2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 ht="15.75" customHeight="1" outlineLevel="1">
      <c r="A19" s="3"/>
      <c r="B19" s="26">
        <v>8.0</v>
      </c>
      <c r="C19" s="19" t="s">
        <v>19</v>
      </c>
      <c r="D19" s="15"/>
      <c r="E19" s="3"/>
      <c r="F19" s="4" t="s">
        <v>20</v>
      </c>
      <c r="G19" s="3"/>
      <c r="H19" s="21" t="s">
        <v>7</v>
      </c>
      <c r="I19" s="3"/>
      <c r="J19" s="3"/>
      <c r="K19" s="3"/>
      <c r="L19" s="3"/>
      <c r="M19" s="2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 ht="15.75" customHeight="1" outlineLevel="1">
      <c r="A20" s="3"/>
      <c r="B20" s="23"/>
      <c r="C20" s="4" t="s">
        <v>15</v>
      </c>
      <c r="D20" s="3"/>
      <c r="E20" s="3"/>
      <c r="F20" s="3"/>
      <c r="G20" s="3"/>
      <c r="H20" s="24"/>
      <c r="I20" s="3"/>
      <c r="J20" s="3"/>
      <c r="K20" s="3"/>
      <c r="L20" s="3"/>
      <c r="M20" s="2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 ht="15.75" customHeight="1" outlineLevel="1">
      <c r="A21" s="3"/>
      <c r="B21" s="26">
        <v>9.0</v>
      </c>
      <c r="C21" s="19" t="s">
        <v>19</v>
      </c>
      <c r="D21" s="3"/>
      <c r="E21" s="3"/>
      <c r="F21" s="3"/>
      <c r="G21" s="3"/>
      <c r="H21" s="21" t="s">
        <v>7</v>
      </c>
      <c r="I21" s="3"/>
      <c r="J21" s="3"/>
      <c r="K21" s="3"/>
      <c r="L21" s="3"/>
      <c r="M21" s="2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 ht="15.75" customHeight="1" outlineLevel="1">
      <c r="A22" s="3"/>
      <c r="B22" s="23"/>
      <c r="C22" s="4" t="s">
        <v>16</v>
      </c>
      <c r="D22" s="3"/>
      <c r="E22" s="3"/>
      <c r="F22" s="3"/>
      <c r="G22" s="3"/>
      <c r="H22" s="24"/>
      <c r="I22" s="3"/>
      <c r="J22" s="3"/>
      <c r="K22" s="3"/>
      <c r="L22" s="3"/>
      <c r="M22" s="2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ht="15.75" customHeight="1" outlineLevel="1">
      <c r="A23" s="3"/>
      <c r="B23" s="26">
        <v>10.0</v>
      </c>
      <c r="C23" s="19" t="s">
        <v>19</v>
      </c>
      <c r="D23" s="3"/>
      <c r="E23" s="3"/>
      <c r="F23" s="3"/>
      <c r="G23" s="3"/>
      <c r="H23" s="21" t="s">
        <v>7</v>
      </c>
      <c r="I23" s="3"/>
      <c r="J23" s="3"/>
      <c r="K23" s="3"/>
      <c r="L23" s="3"/>
      <c r="M23" s="2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ht="15.75" customHeight="1" outlineLevel="1">
      <c r="A24" s="3"/>
      <c r="B24" s="23"/>
      <c r="C24" s="4" t="s">
        <v>17</v>
      </c>
      <c r="D24" s="3"/>
      <c r="E24" s="3"/>
      <c r="F24" s="3"/>
      <c r="G24" s="3"/>
      <c r="H24" s="24"/>
      <c r="I24" s="3"/>
      <c r="J24" s="3"/>
      <c r="K24" s="3"/>
      <c r="L24" s="3"/>
      <c r="M24" s="2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ht="15.75" customHeight="1" outlineLevel="1">
      <c r="A25" s="3"/>
      <c r="B25" s="26">
        <v>11.0</v>
      </c>
      <c r="C25" s="19" t="s">
        <v>19</v>
      </c>
      <c r="D25" s="3"/>
      <c r="E25" s="3"/>
      <c r="F25" s="3"/>
      <c r="G25" s="3"/>
      <c r="H25" s="21" t="s">
        <v>7</v>
      </c>
      <c r="I25" s="3"/>
      <c r="J25" s="3"/>
      <c r="K25" s="3"/>
      <c r="L25" s="3"/>
      <c r="M25" s="2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ht="15.75" customHeight="1" outlineLevel="1">
      <c r="A26" s="3"/>
      <c r="B26" s="23"/>
      <c r="C26" s="4" t="s">
        <v>18</v>
      </c>
      <c r="D26" s="3"/>
      <c r="E26" s="3"/>
      <c r="F26" s="3"/>
      <c r="G26" s="3"/>
      <c r="H26" s="24"/>
      <c r="I26" s="3"/>
      <c r="J26" s="3"/>
      <c r="K26" s="3"/>
      <c r="L26" s="3"/>
      <c r="M26" s="2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ht="15.75" customHeight="1" outlineLevel="1">
      <c r="A27" s="3"/>
      <c r="B27" s="26">
        <v>12.0</v>
      </c>
      <c r="C27" s="4" t="s">
        <v>21</v>
      </c>
      <c r="D27" s="3"/>
      <c r="E27" s="3"/>
      <c r="F27" s="3"/>
      <c r="G27" s="3"/>
      <c r="H27" s="21" t="s">
        <v>22</v>
      </c>
      <c r="I27" s="3"/>
      <c r="J27" s="3"/>
      <c r="K27" s="3"/>
      <c r="L27" s="3"/>
      <c r="M27" s="2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ht="15.75" customHeight="1" outlineLevel="1">
      <c r="A28" s="3"/>
      <c r="B28" s="23"/>
      <c r="C28" s="15"/>
      <c r="D28" s="3"/>
      <c r="E28" s="3"/>
      <c r="F28" s="3"/>
      <c r="G28" s="3"/>
      <c r="H28" s="17"/>
      <c r="I28" s="3"/>
      <c r="J28" s="3"/>
      <c r="K28" s="3"/>
      <c r="L28" s="3"/>
      <c r="M28" s="2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 ht="15.75" customHeight="1" outlineLevel="1">
      <c r="A29" s="3"/>
      <c r="B29" s="27"/>
      <c r="C29" s="28"/>
      <c r="D29" s="28"/>
      <c r="E29" s="28"/>
      <c r="F29" s="28"/>
      <c r="G29" s="28"/>
      <c r="H29" s="29"/>
      <c r="I29" s="28"/>
      <c r="J29" s="28"/>
      <c r="K29" s="28"/>
      <c r="L29" s="28"/>
      <c r="M29" s="2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 ht="15.75" customHeight="1" outlineLevel="1">
      <c r="A30" s="3"/>
      <c r="B30" s="30" t="s">
        <v>23</v>
      </c>
      <c r="C30" s="31"/>
      <c r="D30" s="30" t="s">
        <v>24</v>
      </c>
      <c r="E30" s="32"/>
      <c r="F30" s="32"/>
      <c r="G30" s="32"/>
      <c r="H30" s="33" t="s">
        <v>25</v>
      </c>
      <c r="I30" s="34">
        <v>45748.0</v>
      </c>
      <c r="J30" s="35" t="s">
        <v>26</v>
      </c>
      <c r="K30" s="36"/>
      <c r="L30" s="33" t="s">
        <v>25</v>
      </c>
      <c r="M30" s="34">
        <v>45749.0</v>
      </c>
      <c r="N30" s="35" t="s">
        <v>27</v>
      </c>
      <c r="O30" s="36"/>
      <c r="P30" s="33" t="s">
        <v>25</v>
      </c>
      <c r="Q30" s="34">
        <v>45690.0</v>
      </c>
      <c r="R30" s="35" t="s">
        <v>28</v>
      </c>
      <c r="S30" s="36"/>
      <c r="T30" s="36"/>
      <c r="U30" s="36"/>
      <c r="V30" s="37"/>
      <c r="W30" s="3"/>
      <c r="X30" s="38" t="s">
        <v>29</v>
      </c>
      <c r="Y30" s="39"/>
      <c r="Z30" s="40"/>
      <c r="AA30" s="38" t="s">
        <v>30</v>
      </c>
      <c r="AB30" s="39"/>
      <c r="AC30" s="40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 ht="15.75" customHeight="1" outlineLevel="1">
      <c r="A31" s="3"/>
      <c r="B31" s="41"/>
      <c r="C31" s="42"/>
      <c r="D31" s="43"/>
      <c r="E31" s="44"/>
      <c r="F31" s="45"/>
      <c r="G31" s="45"/>
      <c r="H31" s="46" t="s">
        <v>31</v>
      </c>
      <c r="I31" s="47"/>
      <c r="J31" s="48" t="s">
        <v>32</v>
      </c>
      <c r="K31" s="47"/>
      <c r="L31" s="46" t="s">
        <v>31</v>
      </c>
      <c r="M31" s="47"/>
      <c r="N31" s="48" t="s">
        <v>32</v>
      </c>
      <c r="O31" s="47"/>
      <c r="P31" s="46" t="s">
        <v>31</v>
      </c>
      <c r="Q31" s="47"/>
      <c r="R31" s="48" t="s">
        <v>32</v>
      </c>
      <c r="S31" s="47"/>
      <c r="T31" s="47"/>
      <c r="U31" s="47"/>
      <c r="V31" s="49"/>
      <c r="W31" s="3"/>
      <c r="X31" s="50" t="s">
        <v>33</v>
      </c>
      <c r="Y31" s="51" t="s">
        <v>34</v>
      </c>
      <c r="Z31" s="52"/>
      <c r="AA31" s="50" t="s">
        <v>33</v>
      </c>
      <c r="AB31" s="51" t="s">
        <v>35</v>
      </c>
      <c r="AC31" s="52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ht="15.75" customHeight="1" outlineLevel="1">
      <c r="A32" s="3"/>
      <c r="B32" s="53">
        <v>1.0</v>
      </c>
      <c r="C32" s="54"/>
      <c r="D32" s="10" t="s">
        <v>36</v>
      </c>
      <c r="E32" s="3"/>
      <c r="F32" s="28"/>
      <c r="G32" s="54"/>
      <c r="H32" s="55"/>
      <c r="I32" s="56"/>
      <c r="J32" s="57"/>
      <c r="K32" s="58"/>
      <c r="L32" s="59">
        <v>45749.0</v>
      </c>
      <c r="M32" s="60" t="s">
        <v>37</v>
      </c>
      <c r="N32" s="61" t="s">
        <v>38</v>
      </c>
      <c r="O32" s="28"/>
      <c r="P32" s="55"/>
      <c r="Q32" s="54"/>
      <c r="R32" s="62"/>
      <c r="S32" s="28"/>
      <c r="T32" s="28"/>
      <c r="U32" s="28"/>
      <c r="V32" s="54"/>
      <c r="W32" s="3"/>
      <c r="X32" s="50" t="s">
        <v>39</v>
      </c>
      <c r="Y32" s="51" t="s">
        <v>40</v>
      </c>
      <c r="Z32" s="52"/>
      <c r="AA32" s="50" t="s">
        <v>41</v>
      </c>
      <c r="AB32" s="51" t="s">
        <v>42</v>
      </c>
      <c r="AC32" s="52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ht="15.75" customHeight="1" outlineLevel="1">
      <c r="A33" s="3"/>
      <c r="B33" s="24"/>
      <c r="C33" s="3"/>
      <c r="D33" s="63" t="s">
        <v>43</v>
      </c>
      <c r="E33" s="3"/>
      <c r="F33" s="3"/>
      <c r="G33" s="25"/>
      <c r="H33" s="64"/>
      <c r="I33" s="65"/>
      <c r="J33" s="64"/>
      <c r="K33" s="66"/>
      <c r="L33" s="24"/>
      <c r="M33" s="25"/>
      <c r="N33" s="63" t="s">
        <v>44</v>
      </c>
      <c r="O33" s="25"/>
      <c r="P33" s="24"/>
      <c r="Q33" s="25"/>
      <c r="R33" s="24"/>
      <c r="S33" s="3"/>
      <c r="T33" s="3"/>
      <c r="U33" s="3"/>
      <c r="V33" s="25"/>
      <c r="W33" s="3"/>
      <c r="X33" s="50" t="s">
        <v>45</v>
      </c>
      <c r="Y33" s="51" t="s">
        <v>46</v>
      </c>
      <c r="Z33" s="52"/>
      <c r="AA33" s="50" t="s">
        <v>47</v>
      </c>
      <c r="AB33" s="51" t="s">
        <v>48</v>
      </c>
      <c r="AC33" s="52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ht="15.75" customHeight="1" outlineLevel="1">
      <c r="A34" s="3"/>
      <c r="B34" s="67"/>
      <c r="C34" s="68"/>
      <c r="D34" s="67"/>
      <c r="E34" s="68"/>
      <c r="F34" s="68"/>
      <c r="G34" s="69"/>
      <c r="H34" s="70"/>
      <c r="I34" s="71"/>
      <c r="J34" s="70"/>
      <c r="K34" s="72"/>
      <c r="L34" s="67"/>
      <c r="M34" s="69"/>
      <c r="N34" s="67"/>
      <c r="O34" s="69"/>
      <c r="P34" s="67"/>
      <c r="Q34" s="69"/>
      <c r="R34" s="67"/>
      <c r="S34" s="68"/>
      <c r="T34" s="68"/>
      <c r="U34" s="68"/>
      <c r="V34" s="69"/>
      <c r="W34" s="3"/>
      <c r="X34" s="50" t="s">
        <v>49</v>
      </c>
      <c r="Y34" s="51" t="s">
        <v>50</v>
      </c>
      <c r="Z34" s="52"/>
      <c r="AA34" s="73" t="s">
        <v>51</v>
      </c>
      <c r="AB34" s="74" t="s">
        <v>52</v>
      </c>
      <c r="AC34" s="52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 ht="15.75" customHeight="1" outlineLevel="1">
      <c r="A35" s="3"/>
      <c r="B35" s="26">
        <v>2.0</v>
      </c>
      <c r="C35" s="3"/>
      <c r="D35" s="75" t="s">
        <v>53</v>
      </c>
      <c r="E35" s="3"/>
      <c r="F35" s="3"/>
      <c r="G35" s="25"/>
      <c r="H35" s="55"/>
      <c r="I35" s="56"/>
      <c r="J35" s="57"/>
      <c r="K35" s="65"/>
      <c r="L35" s="59">
        <v>45749.0</v>
      </c>
      <c r="M35" s="60" t="s">
        <v>54</v>
      </c>
      <c r="N35" s="61" t="s">
        <v>55</v>
      </c>
      <c r="O35" s="25"/>
      <c r="P35" s="55"/>
      <c r="Q35" s="54"/>
      <c r="R35" s="62"/>
      <c r="S35" s="3"/>
      <c r="T35" s="3"/>
      <c r="U35" s="3"/>
      <c r="V35" s="25"/>
      <c r="W35" s="3"/>
      <c r="X35" s="50" t="s">
        <v>56</v>
      </c>
      <c r="Y35" s="76" t="s">
        <v>57</v>
      </c>
      <c r="Z35" s="77"/>
      <c r="AA35" s="50" t="s">
        <v>58</v>
      </c>
      <c r="AB35" s="76" t="s">
        <v>59</v>
      </c>
      <c r="AC35" s="77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ht="15.75" customHeight="1" outlineLevel="1">
      <c r="A36" s="3"/>
      <c r="B36" s="23"/>
      <c r="C36" s="3"/>
      <c r="D36" s="63" t="s">
        <v>43</v>
      </c>
      <c r="E36" s="3"/>
      <c r="F36" s="3"/>
      <c r="G36" s="25"/>
      <c r="H36" s="66"/>
      <c r="I36" s="65"/>
      <c r="J36" s="66"/>
      <c r="K36" s="65"/>
      <c r="L36" s="3"/>
      <c r="M36" s="25"/>
      <c r="N36" s="3"/>
      <c r="O36" s="25"/>
      <c r="P36" s="24"/>
      <c r="Q36" s="25"/>
      <c r="R36" s="3"/>
      <c r="S36" s="3"/>
      <c r="T36" s="3"/>
      <c r="U36" s="3"/>
      <c r="V36" s="25"/>
      <c r="W36" s="3"/>
      <c r="X36" s="50" t="s">
        <v>60</v>
      </c>
      <c r="Y36" s="76" t="s">
        <v>61</v>
      </c>
      <c r="Z36" s="77"/>
      <c r="AA36" s="50" t="s">
        <v>62</v>
      </c>
      <c r="AB36" s="76" t="s">
        <v>59</v>
      </c>
      <c r="AC36" s="77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ht="15.75" customHeight="1" outlineLevel="1">
      <c r="A37" s="3"/>
      <c r="B37" s="78"/>
      <c r="C37" s="68"/>
      <c r="D37" s="67"/>
      <c r="E37" s="68"/>
      <c r="F37" s="68"/>
      <c r="G37" s="69"/>
      <c r="H37" s="72"/>
      <c r="I37" s="71"/>
      <c r="J37" s="72"/>
      <c r="K37" s="71"/>
      <c r="L37" s="68"/>
      <c r="M37" s="69"/>
      <c r="N37" s="68"/>
      <c r="O37" s="69"/>
      <c r="P37" s="67"/>
      <c r="Q37" s="69"/>
      <c r="R37" s="68"/>
      <c r="S37" s="68"/>
      <c r="T37" s="68"/>
      <c r="U37" s="68"/>
      <c r="V37" s="69"/>
      <c r="W37" s="3"/>
      <c r="X37" s="50" t="s">
        <v>63</v>
      </c>
      <c r="Y37" s="76" t="s">
        <v>64</v>
      </c>
      <c r="Z37" s="77"/>
      <c r="AA37" s="50" t="s">
        <v>65</v>
      </c>
      <c r="AB37" s="76" t="s">
        <v>66</v>
      </c>
      <c r="AC37" s="77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ht="32.25" customHeight="1" outlineLevel="1">
      <c r="A38" s="3"/>
      <c r="B38" s="26">
        <v>3.0</v>
      </c>
      <c r="C38" s="3"/>
      <c r="D38" s="75" t="s">
        <v>67</v>
      </c>
      <c r="E38" s="3"/>
      <c r="F38" s="3"/>
      <c r="G38" s="25"/>
      <c r="H38" s="59">
        <v>45748.0</v>
      </c>
      <c r="I38" s="60" t="s">
        <v>68</v>
      </c>
      <c r="J38" s="61" t="s">
        <v>69</v>
      </c>
      <c r="K38" s="25"/>
      <c r="L38" s="55"/>
      <c r="M38" s="56"/>
      <c r="N38" s="57"/>
      <c r="O38" s="56"/>
      <c r="P38" s="59">
        <v>45690.0</v>
      </c>
      <c r="Q38" s="60" t="s">
        <v>70</v>
      </c>
      <c r="R38" s="79" t="s">
        <v>71</v>
      </c>
      <c r="S38" s="3"/>
      <c r="T38" s="3"/>
      <c r="U38" s="3"/>
      <c r="V38" s="25"/>
      <c r="W38" s="3"/>
      <c r="X38" s="80" t="s">
        <v>72</v>
      </c>
      <c r="Y38" s="81" t="s">
        <v>73</v>
      </c>
      <c r="Z38" s="82"/>
      <c r="AA38" s="80" t="s">
        <v>72</v>
      </c>
      <c r="AB38" s="81" t="s">
        <v>74</v>
      </c>
      <c r="AC38" s="82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ht="17.25" customHeight="1" outlineLevel="1">
      <c r="A39" s="3"/>
      <c r="B39" s="23"/>
      <c r="C39" s="3"/>
      <c r="D39" s="63" t="s">
        <v>75</v>
      </c>
      <c r="E39" s="3"/>
      <c r="F39" s="3"/>
      <c r="G39" s="25"/>
      <c r="H39" s="3"/>
      <c r="I39" s="25"/>
      <c r="J39" s="3"/>
      <c r="K39" s="25"/>
      <c r="L39" s="64"/>
      <c r="M39" s="65"/>
      <c r="N39" s="64"/>
      <c r="O39" s="66"/>
      <c r="P39" s="83">
        <v>45690.0</v>
      </c>
      <c r="Q39" s="84" t="s">
        <v>76</v>
      </c>
      <c r="R39" s="85" t="s">
        <v>77</v>
      </c>
      <c r="S39" s="3"/>
      <c r="T39" s="3"/>
      <c r="U39" s="3"/>
      <c r="V39" s="25"/>
      <c r="W39" s="24"/>
      <c r="X39" s="38" t="s">
        <v>78</v>
      </c>
      <c r="Y39" s="39"/>
      <c r="Z39" s="40"/>
      <c r="AA39" s="38" t="s">
        <v>79</v>
      </c>
      <c r="AB39" s="39"/>
      <c r="AC39" s="40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ht="17.25" customHeight="1" outlineLevel="1">
      <c r="A40" s="3"/>
      <c r="B40" s="78"/>
      <c r="C40" s="68"/>
      <c r="D40" s="67"/>
      <c r="E40" s="68"/>
      <c r="F40" s="68"/>
      <c r="G40" s="69"/>
      <c r="H40" s="68"/>
      <c r="I40" s="69"/>
      <c r="J40" s="68"/>
      <c r="K40" s="69"/>
      <c r="L40" s="70"/>
      <c r="M40" s="71"/>
      <c r="N40" s="70"/>
      <c r="O40" s="71"/>
      <c r="P40" s="68"/>
      <c r="Q40" s="69"/>
      <c r="R40" s="3"/>
      <c r="S40" s="68"/>
      <c r="T40" s="68"/>
      <c r="U40" s="68"/>
      <c r="V40" s="69"/>
      <c r="W40" s="3"/>
      <c r="X40" s="50" t="s">
        <v>33</v>
      </c>
      <c r="Y40" s="51" t="s">
        <v>80</v>
      </c>
      <c r="Z40" s="52"/>
      <c r="AA40" s="50" t="s">
        <v>81</v>
      </c>
      <c r="AB40" s="76" t="s">
        <v>82</v>
      </c>
      <c r="AC40" s="77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ht="17.25" customHeight="1" outlineLevel="1">
      <c r="A41" s="3"/>
      <c r="B41" s="26">
        <v>4.0</v>
      </c>
      <c r="C41" s="3"/>
      <c r="D41" s="75" t="s">
        <v>67</v>
      </c>
      <c r="E41" s="3"/>
      <c r="F41" s="3"/>
      <c r="G41" s="25"/>
      <c r="H41" s="55"/>
      <c r="I41" s="56"/>
      <c r="J41" s="57"/>
      <c r="K41" s="65"/>
      <c r="L41" s="59">
        <v>45749.0</v>
      </c>
      <c r="M41" s="60" t="s">
        <v>83</v>
      </c>
      <c r="N41" s="61" t="s">
        <v>55</v>
      </c>
      <c r="O41" s="25"/>
      <c r="P41" s="59">
        <v>45690.0</v>
      </c>
      <c r="Q41" s="60" t="s">
        <v>83</v>
      </c>
      <c r="R41" s="86" t="s">
        <v>84</v>
      </c>
      <c r="S41" s="3"/>
      <c r="T41" s="3"/>
      <c r="U41" s="3"/>
      <c r="V41" s="25"/>
      <c r="W41" s="3"/>
      <c r="X41" s="50" t="s">
        <v>41</v>
      </c>
      <c r="Y41" s="87" t="s">
        <v>85</v>
      </c>
      <c r="Z41" s="52"/>
      <c r="AA41" s="50" t="s">
        <v>86</v>
      </c>
      <c r="AB41" s="76" t="s">
        <v>87</v>
      </c>
      <c r="AC41" s="77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ht="17.25" customHeight="1" outlineLevel="1">
      <c r="A42" s="3"/>
      <c r="B42" s="23"/>
      <c r="C42" s="3"/>
      <c r="D42" s="63" t="s">
        <v>88</v>
      </c>
      <c r="E42" s="3"/>
      <c r="F42" s="3"/>
      <c r="G42" s="25"/>
      <c r="H42" s="66"/>
      <c r="I42" s="65"/>
      <c r="J42" s="66"/>
      <c r="K42" s="65"/>
      <c r="L42" s="3"/>
      <c r="M42" s="25"/>
      <c r="N42" s="3"/>
      <c r="O42" s="25"/>
      <c r="P42" s="3"/>
      <c r="Q42" s="3"/>
      <c r="R42" s="86" t="s">
        <v>89</v>
      </c>
      <c r="S42" s="3"/>
      <c r="T42" s="3"/>
      <c r="U42" s="3"/>
      <c r="V42" s="25"/>
      <c r="W42" s="3"/>
      <c r="X42" s="50" t="s">
        <v>90</v>
      </c>
      <c r="Y42" s="51" t="s">
        <v>91</v>
      </c>
      <c r="Z42" s="52"/>
      <c r="AA42" s="50" t="s">
        <v>92</v>
      </c>
      <c r="AB42" s="88"/>
      <c r="AC42" s="77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ht="17.25" customHeight="1" outlineLevel="1">
      <c r="A43" s="3"/>
      <c r="B43" s="78"/>
      <c r="C43" s="68"/>
      <c r="D43" s="67"/>
      <c r="E43" s="68"/>
      <c r="F43" s="68"/>
      <c r="G43" s="69"/>
      <c r="H43" s="72"/>
      <c r="I43" s="71"/>
      <c r="J43" s="72"/>
      <c r="K43" s="71"/>
      <c r="L43" s="68"/>
      <c r="M43" s="69"/>
      <c r="N43" s="68"/>
      <c r="O43" s="69"/>
      <c r="P43" s="68"/>
      <c r="Q43" s="69"/>
      <c r="R43" s="3"/>
      <c r="S43" s="68"/>
      <c r="T43" s="68"/>
      <c r="U43" s="68"/>
      <c r="V43" s="69"/>
      <c r="W43" s="3"/>
      <c r="X43" s="50" t="s">
        <v>93</v>
      </c>
      <c r="Y43" s="89"/>
      <c r="Z43" s="52"/>
      <c r="AA43" s="50" t="s">
        <v>62</v>
      </c>
      <c r="AB43" s="88"/>
      <c r="AC43" s="77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ht="17.25" customHeight="1" outlineLevel="1">
      <c r="A44" s="3"/>
      <c r="B44" s="26">
        <v>5.0</v>
      </c>
      <c r="C44" s="3"/>
      <c r="D44" s="75" t="s">
        <v>67</v>
      </c>
      <c r="E44" s="3"/>
      <c r="F44" s="3"/>
      <c r="G44" s="25"/>
      <c r="H44" s="55"/>
      <c r="I44" s="56"/>
      <c r="J44" s="57"/>
      <c r="K44" s="65"/>
      <c r="L44" s="59">
        <v>45749.0</v>
      </c>
      <c r="M44" s="60" t="s">
        <v>94</v>
      </c>
      <c r="N44" s="61" t="s">
        <v>55</v>
      </c>
      <c r="O44" s="25"/>
      <c r="P44" s="59">
        <v>45690.0</v>
      </c>
      <c r="Q44" s="60" t="s">
        <v>94</v>
      </c>
      <c r="R44" s="86" t="s">
        <v>89</v>
      </c>
      <c r="S44" s="3"/>
      <c r="T44" s="3"/>
      <c r="U44" s="3"/>
      <c r="V44" s="25"/>
      <c r="W44" s="3"/>
      <c r="X44" s="50" t="s">
        <v>95</v>
      </c>
      <c r="Y44" s="88"/>
      <c r="Z44" s="77"/>
      <c r="AA44" s="90"/>
      <c r="AB44" s="88"/>
      <c r="AC44" s="77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ht="17.25" customHeight="1" outlineLevel="1">
      <c r="A45" s="3"/>
      <c r="B45" s="23"/>
      <c r="C45" s="3"/>
      <c r="D45" s="63" t="s">
        <v>96</v>
      </c>
      <c r="E45" s="3"/>
      <c r="F45" s="3"/>
      <c r="G45" s="25"/>
      <c r="H45" s="66"/>
      <c r="I45" s="65"/>
      <c r="J45" s="66"/>
      <c r="K45" s="65"/>
      <c r="L45" s="3"/>
      <c r="M45" s="25"/>
      <c r="N45" s="3"/>
      <c r="O45" s="25"/>
      <c r="P45" s="3"/>
      <c r="Q45" s="3"/>
      <c r="R45" s="91"/>
      <c r="S45" s="3"/>
      <c r="T45" s="3"/>
      <c r="U45" s="3"/>
      <c r="V45" s="25"/>
      <c r="W45" s="3"/>
      <c r="X45" s="50" t="s">
        <v>72</v>
      </c>
      <c r="Y45" s="76" t="s">
        <v>73</v>
      </c>
      <c r="Z45" s="77"/>
      <c r="AA45" s="92"/>
      <c r="AB45" s="93"/>
      <c r="AC45" s="82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ht="17.25" customHeight="1" outlineLevel="1">
      <c r="A46" s="3"/>
      <c r="B46" s="78"/>
      <c r="C46" s="68"/>
      <c r="D46" s="67"/>
      <c r="E46" s="68"/>
      <c r="F46" s="68"/>
      <c r="G46" s="69"/>
      <c r="H46" s="72"/>
      <c r="I46" s="71"/>
      <c r="J46" s="72"/>
      <c r="K46" s="71"/>
      <c r="L46" s="68"/>
      <c r="M46" s="69"/>
      <c r="N46" s="68"/>
      <c r="O46" s="69"/>
      <c r="P46" s="68"/>
      <c r="Q46" s="69"/>
      <c r="R46" s="68"/>
      <c r="S46" s="68"/>
      <c r="T46" s="68"/>
      <c r="U46" s="68"/>
      <c r="V46" s="69"/>
      <c r="W46" s="3"/>
      <c r="X46" s="28"/>
      <c r="Y46" s="94"/>
      <c r="Z46" s="94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ht="17.25" customHeight="1" outlineLevel="1">
      <c r="A47" s="3"/>
      <c r="B47" s="26">
        <v>6.0</v>
      </c>
      <c r="C47" s="3"/>
      <c r="D47" s="75" t="s">
        <v>67</v>
      </c>
      <c r="E47" s="3"/>
      <c r="F47" s="3"/>
      <c r="G47" s="25"/>
      <c r="H47" s="55"/>
      <c r="I47" s="56"/>
      <c r="J47" s="57"/>
      <c r="K47" s="65"/>
      <c r="L47" s="59">
        <v>45749.0</v>
      </c>
      <c r="M47" s="60" t="s">
        <v>97</v>
      </c>
      <c r="N47" s="61" t="s">
        <v>55</v>
      </c>
      <c r="O47" s="65"/>
      <c r="P47" s="59">
        <v>45690.0</v>
      </c>
      <c r="Q47" s="60" t="s">
        <v>97</v>
      </c>
      <c r="R47" s="86" t="s">
        <v>89</v>
      </c>
      <c r="S47" s="3"/>
      <c r="T47" s="3"/>
      <c r="U47" s="3"/>
      <c r="V47" s="25"/>
      <c r="W47" s="3"/>
      <c r="X47" s="3"/>
      <c r="Y47" s="95"/>
      <c r="Z47" s="95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ht="17.25" customHeight="1" outlineLevel="1">
      <c r="A48" s="3"/>
      <c r="B48" s="23"/>
      <c r="C48" s="3"/>
      <c r="D48" s="63" t="s">
        <v>98</v>
      </c>
      <c r="E48" s="3"/>
      <c r="F48" s="3"/>
      <c r="G48" s="25"/>
      <c r="H48" s="66"/>
      <c r="I48" s="65"/>
      <c r="J48" s="66"/>
      <c r="K48" s="65"/>
      <c r="L48" s="66"/>
      <c r="M48" s="25"/>
      <c r="N48" s="66"/>
      <c r="O48" s="65"/>
      <c r="P48" s="3"/>
      <c r="Q48" s="3"/>
      <c r="R48" s="91"/>
      <c r="S48" s="3"/>
      <c r="T48" s="3"/>
      <c r="U48" s="3"/>
      <c r="V48" s="25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ht="17.25" customHeight="1" outlineLevel="1">
      <c r="A49" s="3"/>
      <c r="B49" s="78"/>
      <c r="C49" s="68"/>
      <c r="D49" s="67"/>
      <c r="E49" s="68"/>
      <c r="F49" s="68"/>
      <c r="G49" s="69"/>
      <c r="H49" s="72"/>
      <c r="I49" s="71"/>
      <c r="J49" s="72"/>
      <c r="K49" s="71"/>
      <c r="L49" s="72"/>
      <c r="M49" s="69"/>
      <c r="N49" s="72"/>
      <c r="O49" s="71"/>
      <c r="P49" s="68"/>
      <c r="Q49" s="69"/>
      <c r="R49" s="68"/>
      <c r="S49" s="68"/>
      <c r="T49" s="68"/>
      <c r="U49" s="68"/>
      <c r="V49" s="68"/>
      <c r="W49" s="24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ht="33.75" customHeight="1" outlineLevel="1">
      <c r="A50" s="3"/>
      <c r="B50" s="26">
        <v>7.0</v>
      </c>
      <c r="C50" s="3"/>
      <c r="D50" s="75" t="s">
        <v>99</v>
      </c>
      <c r="E50" s="3"/>
      <c r="F50" s="3"/>
      <c r="G50" s="25"/>
      <c r="H50" s="59">
        <v>45748.0</v>
      </c>
      <c r="I50" s="60" t="s">
        <v>100</v>
      </c>
      <c r="J50" s="61" t="s">
        <v>69</v>
      </c>
      <c r="K50" s="25"/>
      <c r="L50" s="55"/>
      <c r="M50" s="54"/>
      <c r="N50" s="57"/>
      <c r="O50" s="56"/>
      <c r="P50" s="59">
        <v>45690.0</v>
      </c>
      <c r="Q50" s="60" t="s">
        <v>101</v>
      </c>
      <c r="R50" s="96" t="s">
        <v>71</v>
      </c>
      <c r="S50" s="3"/>
      <c r="T50" s="3"/>
      <c r="U50" s="3"/>
      <c r="V50" s="3"/>
      <c r="W50" s="24"/>
      <c r="X50" s="3"/>
      <c r="Y50" s="95"/>
      <c r="Z50" s="95"/>
      <c r="AA50" s="95"/>
      <c r="AB50" s="95"/>
      <c r="AC50" s="95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ht="17.25" customHeight="1" outlineLevel="1">
      <c r="A51" s="3"/>
      <c r="B51" s="23"/>
      <c r="C51" s="3"/>
      <c r="D51" s="63" t="s">
        <v>75</v>
      </c>
      <c r="E51" s="3"/>
      <c r="F51" s="3"/>
      <c r="G51" s="25"/>
      <c r="H51" s="3"/>
      <c r="I51" s="25"/>
      <c r="J51" s="3"/>
      <c r="K51" s="25"/>
      <c r="L51" s="64"/>
      <c r="M51" s="25"/>
      <c r="N51" s="64"/>
      <c r="O51" s="66"/>
      <c r="P51" s="83">
        <v>45690.0</v>
      </c>
      <c r="Q51" s="84" t="s">
        <v>102</v>
      </c>
      <c r="R51" s="85" t="s">
        <v>77</v>
      </c>
      <c r="S51" s="3"/>
      <c r="T51" s="3"/>
      <c r="U51" s="3"/>
      <c r="V51" s="3"/>
      <c r="W51" s="24"/>
      <c r="X51" s="97"/>
      <c r="Y51" s="97"/>
      <c r="Z51" s="97"/>
      <c r="AA51" s="97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ht="17.25" customHeight="1" outlineLevel="1">
      <c r="A52" s="3"/>
      <c r="B52" s="78"/>
      <c r="C52" s="68"/>
      <c r="D52" s="67"/>
      <c r="E52" s="68"/>
      <c r="F52" s="68"/>
      <c r="G52" s="69"/>
      <c r="H52" s="68"/>
      <c r="I52" s="69"/>
      <c r="J52" s="68"/>
      <c r="K52" s="69"/>
      <c r="L52" s="70"/>
      <c r="M52" s="69"/>
      <c r="N52" s="70"/>
      <c r="O52" s="71"/>
      <c r="P52" s="68"/>
      <c r="Q52" s="69"/>
      <c r="R52" s="3"/>
      <c r="S52" s="68"/>
      <c r="T52" s="68"/>
      <c r="U52" s="68"/>
      <c r="V52" s="68"/>
      <c r="W52" s="24"/>
      <c r="X52" s="3"/>
      <c r="Y52" s="98"/>
      <c r="Z52" s="98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ht="17.25" customHeight="1" outlineLevel="1">
      <c r="A53" s="3"/>
      <c r="B53" s="26">
        <v>8.0</v>
      </c>
      <c r="C53" s="3"/>
      <c r="D53" s="75" t="s">
        <v>99</v>
      </c>
      <c r="E53" s="3"/>
      <c r="F53" s="3"/>
      <c r="G53" s="25"/>
      <c r="H53" s="55"/>
      <c r="I53" s="56"/>
      <c r="J53" s="57"/>
      <c r="K53" s="65"/>
      <c r="L53" s="59">
        <v>45749.0</v>
      </c>
      <c r="M53" s="60" t="s">
        <v>103</v>
      </c>
      <c r="N53" s="61" t="s">
        <v>55</v>
      </c>
      <c r="O53" s="25"/>
      <c r="P53" s="59">
        <v>45690.0</v>
      </c>
      <c r="Q53" s="60" t="s">
        <v>103</v>
      </c>
      <c r="R53" s="86" t="s">
        <v>84</v>
      </c>
      <c r="S53" s="3"/>
      <c r="T53" s="3"/>
      <c r="U53" s="3"/>
      <c r="V53" s="3"/>
      <c r="W53" s="24"/>
      <c r="X53" s="95"/>
      <c r="Y53" s="98"/>
      <c r="Z53" s="98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ht="17.25" customHeight="1" outlineLevel="1">
      <c r="A54" s="3"/>
      <c r="B54" s="23"/>
      <c r="C54" s="3"/>
      <c r="D54" s="63" t="s">
        <v>88</v>
      </c>
      <c r="E54" s="3"/>
      <c r="F54" s="3"/>
      <c r="G54" s="25"/>
      <c r="H54" s="66"/>
      <c r="I54" s="65"/>
      <c r="J54" s="66"/>
      <c r="K54" s="65"/>
      <c r="L54" s="3"/>
      <c r="M54" s="25"/>
      <c r="N54" s="3"/>
      <c r="O54" s="25"/>
      <c r="P54" s="3"/>
      <c r="Q54" s="3"/>
      <c r="R54" s="86" t="s">
        <v>89</v>
      </c>
      <c r="S54" s="3"/>
      <c r="T54" s="3"/>
      <c r="U54" s="3"/>
      <c r="V54" s="3"/>
      <c r="W54" s="24"/>
      <c r="X54" s="3"/>
      <c r="Y54" s="98"/>
      <c r="Z54" s="98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ht="17.25" customHeight="1" outlineLevel="1">
      <c r="A55" s="3"/>
      <c r="B55" s="78"/>
      <c r="C55" s="68"/>
      <c r="D55" s="67"/>
      <c r="E55" s="68"/>
      <c r="F55" s="68"/>
      <c r="G55" s="69"/>
      <c r="H55" s="72"/>
      <c r="I55" s="71"/>
      <c r="J55" s="72"/>
      <c r="K55" s="71"/>
      <c r="L55" s="68"/>
      <c r="M55" s="69"/>
      <c r="N55" s="68"/>
      <c r="O55" s="69"/>
      <c r="P55" s="68"/>
      <c r="Q55" s="69"/>
      <c r="R55" s="3"/>
      <c r="S55" s="68"/>
      <c r="T55" s="68"/>
      <c r="U55" s="68"/>
      <c r="V55" s="68"/>
      <c r="W55" s="24"/>
      <c r="X55" s="3"/>
      <c r="Y55" s="98"/>
      <c r="Z55" s="98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ht="17.25" customHeight="1" outlineLevel="1">
      <c r="A56" s="3"/>
      <c r="B56" s="26">
        <v>9.0</v>
      </c>
      <c r="C56" s="3"/>
      <c r="D56" s="75" t="s">
        <v>99</v>
      </c>
      <c r="E56" s="3"/>
      <c r="F56" s="3"/>
      <c r="G56" s="25"/>
      <c r="H56" s="55"/>
      <c r="I56" s="56"/>
      <c r="J56" s="57"/>
      <c r="K56" s="65"/>
      <c r="L56" s="59">
        <v>45749.0</v>
      </c>
      <c r="M56" s="60" t="s">
        <v>104</v>
      </c>
      <c r="N56" s="61" t="s">
        <v>55</v>
      </c>
      <c r="O56" s="25"/>
      <c r="P56" s="59">
        <v>45690.0</v>
      </c>
      <c r="Q56" s="60" t="s">
        <v>104</v>
      </c>
      <c r="R56" s="86" t="s">
        <v>89</v>
      </c>
      <c r="S56" s="3"/>
      <c r="T56" s="3"/>
      <c r="U56" s="3"/>
      <c r="V56" s="3"/>
      <c r="W56" s="24"/>
      <c r="X56" s="3"/>
      <c r="Y56" s="95"/>
      <c r="Z56" s="95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ht="17.25" customHeight="1" outlineLevel="1">
      <c r="A57" s="3"/>
      <c r="B57" s="23"/>
      <c r="C57" s="3"/>
      <c r="D57" s="63" t="s">
        <v>96</v>
      </c>
      <c r="E57" s="3"/>
      <c r="F57" s="3"/>
      <c r="G57" s="25"/>
      <c r="H57" s="66"/>
      <c r="I57" s="65"/>
      <c r="J57" s="66"/>
      <c r="K57" s="65"/>
      <c r="L57" s="3"/>
      <c r="M57" s="25"/>
      <c r="N57" s="3"/>
      <c r="O57" s="25"/>
      <c r="P57" s="3"/>
      <c r="Q57" s="3"/>
      <c r="R57" s="91"/>
      <c r="S57" s="3"/>
      <c r="T57" s="3"/>
      <c r="U57" s="3"/>
      <c r="V57" s="3"/>
      <c r="W57" s="24"/>
      <c r="X57" s="3"/>
      <c r="Y57" s="95"/>
      <c r="Z57" s="95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ht="17.25" customHeight="1" outlineLevel="1">
      <c r="A58" s="3"/>
      <c r="B58" s="78"/>
      <c r="C58" s="68"/>
      <c r="D58" s="67"/>
      <c r="E58" s="68"/>
      <c r="F58" s="68"/>
      <c r="G58" s="69"/>
      <c r="H58" s="72"/>
      <c r="I58" s="71"/>
      <c r="J58" s="72"/>
      <c r="K58" s="71"/>
      <c r="L58" s="68"/>
      <c r="M58" s="69"/>
      <c r="N58" s="68"/>
      <c r="O58" s="69"/>
      <c r="P58" s="68"/>
      <c r="Q58" s="69"/>
      <c r="R58" s="68"/>
      <c r="S58" s="68"/>
      <c r="T58" s="68"/>
      <c r="U58" s="68"/>
      <c r="V58" s="68"/>
      <c r="W58" s="24"/>
      <c r="X58" s="3"/>
      <c r="Y58" s="95"/>
      <c r="Z58" s="95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ht="17.25" customHeight="1" outlineLevel="1">
      <c r="A59" s="3"/>
      <c r="B59" s="26">
        <v>10.0</v>
      </c>
      <c r="C59" s="3"/>
      <c r="D59" s="75" t="s">
        <v>99</v>
      </c>
      <c r="E59" s="3"/>
      <c r="F59" s="3"/>
      <c r="G59" s="25"/>
      <c r="H59" s="55"/>
      <c r="I59" s="56"/>
      <c r="J59" s="57"/>
      <c r="K59" s="65"/>
      <c r="L59" s="59">
        <v>45749.0</v>
      </c>
      <c r="M59" s="60" t="s">
        <v>105</v>
      </c>
      <c r="N59" s="61" t="s">
        <v>55</v>
      </c>
      <c r="O59" s="65"/>
      <c r="P59" s="59">
        <v>45690.0</v>
      </c>
      <c r="Q59" s="60" t="s">
        <v>105</v>
      </c>
      <c r="R59" s="86" t="s">
        <v>89</v>
      </c>
      <c r="S59" s="3"/>
      <c r="T59" s="3"/>
      <c r="U59" s="3"/>
      <c r="V59" s="25"/>
      <c r="W59" s="3"/>
      <c r="X59" s="3"/>
      <c r="Y59" s="95"/>
      <c r="Z59" s="95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ht="17.25" customHeight="1" outlineLevel="1">
      <c r="A60" s="3"/>
      <c r="B60" s="23"/>
      <c r="C60" s="3"/>
      <c r="D60" s="63" t="s">
        <v>98</v>
      </c>
      <c r="E60" s="3"/>
      <c r="F60" s="3"/>
      <c r="G60" s="25"/>
      <c r="H60" s="66"/>
      <c r="I60" s="65"/>
      <c r="J60" s="66"/>
      <c r="K60" s="65"/>
      <c r="L60" s="66"/>
      <c r="M60" s="25"/>
      <c r="N60" s="66"/>
      <c r="O60" s="65"/>
      <c r="P60" s="3"/>
      <c r="Q60" s="3"/>
      <c r="R60" s="24"/>
      <c r="S60" s="3"/>
      <c r="T60" s="3"/>
      <c r="U60" s="3"/>
      <c r="V60" s="25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ht="17.25" customHeight="1" outlineLevel="1">
      <c r="A61" s="3"/>
      <c r="B61" s="78"/>
      <c r="C61" s="68"/>
      <c r="D61" s="67"/>
      <c r="E61" s="68"/>
      <c r="F61" s="68"/>
      <c r="G61" s="69"/>
      <c r="H61" s="72"/>
      <c r="I61" s="71"/>
      <c r="J61" s="72"/>
      <c r="K61" s="71"/>
      <c r="L61" s="72"/>
      <c r="M61" s="69"/>
      <c r="N61" s="72"/>
      <c r="O61" s="71"/>
      <c r="P61" s="68"/>
      <c r="Q61" s="69"/>
      <c r="R61" s="67"/>
      <c r="S61" s="68"/>
      <c r="T61" s="68"/>
      <c r="U61" s="68"/>
      <c r="V61" s="69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ht="36.0" customHeight="1" outlineLevel="1">
      <c r="A62" s="3"/>
      <c r="B62" s="26">
        <v>11.0</v>
      </c>
      <c r="C62" s="3"/>
      <c r="D62" s="75" t="s">
        <v>106</v>
      </c>
      <c r="E62" s="3"/>
      <c r="F62" s="3"/>
      <c r="G62" s="25"/>
      <c r="H62" s="55"/>
      <c r="I62" s="56"/>
      <c r="J62" s="57"/>
      <c r="K62" s="65"/>
      <c r="L62" s="55"/>
      <c r="M62" s="56"/>
      <c r="N62" s="57"/>
      <c r="O62" s="65"/>
      <c r="P62" s="59">
        <v>45690.0</v>
      </c>
      <c r="Q62" s="60" t="s">
        <v>107</v>
      </c>
      <c r="R62" s="99" t="s">
        <v>108</v>
      </c>
      <c r="S62" s="3"/>
      <c r="T62" s="3"/>
      <c r="U62" s="3"/>
      <c r="V62" s="25"/>
      <c r="W62" s="3"/>
      <c r="X62" s="3"/>
      <c r="Y62" s="95"/>
      <c r="Z62" s="95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ht="17.25" customHeight="1" outlineLevel="1">
      <c r="A63" s="3"/>
      <c r="B63" s="23"/>
      <c r="C63" s="3"/>
      <c r="D63" s="63" t="s">
        <v>109</v>
      </c>
      <c r="E63" s="3"/>
      <c r="F63" s="3"/>
      <c r="G63" s="25"/>
      <c r="H63" s="66"/>
      <c r="I63" s="65"/>
      <c r="J63" s="66"/>
      <c r="K63" s="65"/>
      <c r="L63" s="66"/>
      <c r="M63" s="65"/>
      <c r="N63" s="66"/>
      <c r="O63" s="65"/>
      <c r="P63" s="3"/>
      <c r="Q63" s="3"/>
      <c r="R63" s="24"/>
      <c r="S63" s="3"/>
      <c r="T63" s="3"/>
      <c r="U63" s="3"/>
      <c r="V63" s="25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ht="17.25" customHeight="1" outlineLevel="1">
      <c r="A64" s="3"/>
      <c r="B64" s="78"/>
      <c r="C64" s="68"/>
      <c r="D64" s="67"/>
      <c r="E64" s="68"/>
      <c r="F64" s="68"/>
      <c r="G64" s="69"/>
      <c r="H64" s="72"/>
      <c r="I64" s="71"/>
      <c r="J64" s="72"/>
      <c r="K64" s="71"/>
      <c r="L64" s="72"/>
      <c r="M64" s="71"/>
      <c r="N64" s="72"/>
      <c r="O64" s="71"/>
      <c r="P64" s="68"/>
      <c r="Q64" s="69"/>
      <c r="R64" s="68"/>
      <c r="S64" s="68"/>
      <c r="T64" s="68"/>
      <c r="U64" s="68"/>
      <c r="V64" s="69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ht="15.75" customHeight="1">
      <c r="A66" s="4" t="s">
        <v>110</v>
      </c>
      <c r="B66" s="5" t="s">
        <v>111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ht="15.75" customHeight="1" outlineLevel="1">
      <c r="A67" s="3"/>
      <c r="B67" s="6" t="s">
        <v>3</v>
      </c>
      <c r="C67" s="7"/>
      <c r="D67" s="7"/>
      <c r="E67" s="7"/>
      <c r="F67" s="7"/>
      <c r="G67" s="7"/>
      <c r="H67" s="8" t="s">
        <v>4</v>
      </c>
      <c r="I67" s="7"/>
      <c r="J67" s="7"/>
      <c r="K67" s="7"/>
      <c r="L67" s="7"/>
      <c r="M67" s="7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ht="15.75" customHeight="1" outlineLevel="1">
      <c r="A68" s="3"/>
      <c r="B68" s="9" t="s">
        <v>5</v>
      </c>
      <c r="C68" s="10" t="s">
        <v>112</v>
      </c>
      <c r="D68" s="11"/>
      <c r="E68" s="11"/>
      <c r="F68" s="11"/>
      <c r="G68" s="12"/>
      <c r="H68" s="13" t="s">
        <v>22</v>
      </c>
      <c r="I68" s="11"/>
      <c r="J68" s="11"/>
      <c r="K68" s="11"/>
      <c r="L68" s="3"/>
      <c r="M68" s="12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ht="15.75" customHeight="1" outlineLevel="1">
      <c r="A69" s="3"/>
      <c r="B69" s="14"/>
      <c r="C69" s="4" t="s">
        <v>113</v>
      </c>
      <c r="D69" s="15"/>
      <c r="E69" s="15"/>
      <c r="F69" s="15"/>
      <c r="G69" s="16"/>
      <c r="H69" s="17"/>
      <c r="I69" s="15"/>
      <c r="J69" s="15"/>
      <c r="K69" s="15"/>
      <c r="L69" s="3"/>
      <c r="M69" s="1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ht="15.75" customHeight="1" outlineLevel="1">
      <c r="A70" s="3"/>
      <c r="B70" s="18" t="s">
        <v>9</v>
      </c>
      <c r="C70" s="19" t="s">
        <v>112</v>
      </c>
      <c r="D70" s="15"/>
      <c r="E70" s="15"/>
      <c r="F70" s="15"/>
      <c r="G70" s="15"/>
      <c r="H70" s="21" t="s">
        <v>22</v>
      </c>
      <c r="I70" s="15"/>
      <c r="J70" s="15"/>
      <c r="K70" s="15"/>
      <c r="L70" s="3"/>
      <c r="M70" s="1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ht="15.75" customHeight="1" outlineLevel="1">
      <c r="A71" s="3"/>
      <c r="B71" s="14"/>
      <c r="C71" s="4" t="s">
        <v>114</v>
      </c>
      <c r="D71" s="15"/>
      <c r="E71" s="15"/>
      <c r="F71" s="15"/>
      <c r="G71" s="15"/>
      <c r="H71" s="17"/>
      <c r="I71" s="15"/>
      <c r="J71" s="15"/>
      <c r="K71" s="15"/>
      <c r="L71" s="3"/>
      <c r="M71" s="1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ht="15.75" customHeight="1" outlineLevel="1">
      <c r="A72" s="3"/>
      <c r="B72" s="18" t="s">
        <v>11</v>
      </c>
      <c r="C72" s="19" t="s">
        <v>112</v>
      </c>
      <c r="D72" s="15"/>
      <c r="E72" s="15"/>
      <c r="F72" s="15"/>
      <c r="G72" s="15"/>
      <c r="H72" s="21" t="s">
        <v>22</v>
      </c>
      <c r="I72" s="15"/>
      <c r="J72" s="15"/>
      <c r="K72" s="15"/>
      <c r="L72" s="3"/>
      <c r="M72" s="1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ht="15.75" customHeight="1" outlineLevel="1">
      <c r="A73" s="3"/>
      <c r="B73" s="23"/>
      <c r="C73" s="4" t="s">
        <v>115</v>
      </c>
      <c r="D73" s="3"/>
      <c r="E73" s="3"/>
      <c r="F73" s="3"/>
      <c r="G73" s="3"/>
      <c r="H73" s="24"/>
      <c r="I73" s="3"/>
      <c r="J73" s="3"/>
      <c r="K73" s="3"/>
      <c r="L73" s="3"/>
      <c r="M73" s="25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ht="15.75" customHeight="1" outlineLevel="1">
      <c r="A74" s="3"/>
      <c r="B74" s="26">
        <v>4.0</v>
      </c>
      <c r="C74" s="19" t="s">
        <v>112</v>
      </c>
      <c r="D74" s="3"/>
      <c r="E74" s="3"/>
      <c r="F74" s="3"/>
      <c r="G74" s="3"/>
      <c r="H74" s="21" t="s">
        <v>22</v>
      </c>
      <c r="I74" s="3"/>
      <c r="J74" s="3"/>
      <c r="K74" s="3"/>
      <c r="L74" s="3"/>
      <c r="M74" s="25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ht="15.75" customHeight="1" outlineLevel="1">
      <c r="A75" s="3"/>
      <c r="B75" s="23"/>
      <c r="C75" s="4" t="s">
        <v>116</v>
      </c>
      <c r="D75" s="3"/>
      <c r="E75" s="3"/>
      <c r="F75" s="3"/>
      <c r="G75" s="3"/>
      <c r="H75" s="17"/>
      <c r="I75" s="3"/>
      <c r="J75" s="3"/>
      <c r="K75" s="3"/>
      <c r="L75" s="3"/>
      <c r="M75" s="25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ht="15.75" customHeight="1" outlineLevel="1">
      <c r="A76" s="3"/>
      <c r="B76" s="26">
        <v>5.0</v>
      </c>
      <c r="C76" s="19" t="s">
        <v>117</v>
      </c>
      <c r="D76" s="3"/>
      <c r="E76" s="3"/>
      <c r="F76" s="3"/>
      <c r="G76" s="3"/>
      <c r="H76" s="21" t="s">
        <v>22</v>
      </c>
      <c r="I76" s="3"/>
      <c r="J76" s="3"/>
      <c r="K76" s="3"/>
      <c r="L76" s="3"/>
      <c r="M76" s="2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ht="15.75" customHeight="1" outlineLevel="1">
      <c r="A77" s="3"/>
      <c r="B77" s="23"/>
      <c r="C77" s="15"/>
      <c r="D77" s="3"/>
      <c r="E77" s="3"/>
      <c r="F77" s="3"/>
      <c r="G77" s="3"/>
      <c r="H77" s="17"/>
      <c r="I77" s="3"/>
      <c r="J77" s="3"/>
      <c r="K77" s="3"/>
      <c r="L77" s="3"/>
      <c r="M77" s="25"/>
      <c r="N77" s="3"/>
      <c r="O77" s="3"/>
      <c r="P77" s="3"/>
      <c r="Q77" s="3"/>
      <c r="R77" s="3"/>
      <c r="S77" s="3"/>
      <c r="T77" s="3"/>
      <c r="U77" s="3"/>
      <c r="V77" s="3"/>
      <c r="W77" s="3"/>
      <c r="X77" s="38" t="s">
        <v>118</v>
      </c>
      <c r="Y77" s="39"/>
      <c r="Z77" s="40"/>
      <c r="AA77" s="38" t="s">
        <v>119</v>
      </c>
      <c r="AB77" s="39"/>
      <c r="AC77" s="40"/>
      <c r="AD77" s="38" t="s">
        <v>120</v>
      </c>
      <c r="AE77" s="39"/>
      <c r="AF77" s="40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ht="15.75" customHeight="1" outlineLevel="1">
      <c r="A78" s="3"/>
      <c r="B78" s="27"/>
      <c r="C78" s="28"/>
      <c r="D78" s="28"/>
      <c r="E78" s="28"/>
      <c r="F78" s="28"/>
      <c r="G78" s="28"/>
      <c r="H78" s="29"/>
      <c r="I78" s="28"/>
      <c r="J78" s="28"/>
      <c r="K78" s="28"/>
      <c r="L78" s="28"/>
      <c r="M78" s="28"/>
      <c r="N78" s="3"/>
      <c r="O78" s="3"/>
      <c r="P78" s="3"/>
      <c r="Q78" s="3"/>
      <c r="R78" s="3"/>
      <c r="S78" s="3"/>
      <c r="T78" s="3"/>
      <c r="U78" s="3"/>
      <c r="V78" s="3"/>
      <c r="W78" s="3"/>
      <c r="X78" s="50" t="s">
        <v>33</v>
      </c>
      <c r="Y78" s="51" t="s">
        <v>34</v>
      </c>
      <c r="Z78" s="52"/>
      <c r="AA78" s="50" t="s">
        <v>33</v>
      </c>
      <c r="AB78" s="89"/>
      <c r="AC78" s="52"/>
      <c r="AD78" s="50" t="s">
        <v>33</v>
      </c>
      <c r="AE78" s="88"/>
      <c r="AF78" s="77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ht="15.75" customHeight="1" outlineLevel="1">
      <c r="A79" s="3"/>
      <c r="B79" s="30" t="s">
        <v>23</v>
      </c>
      <c r="C79" s="31"/>
      <c r="D79" s="30" t="s">
        <v>24</v>
      </c>
      <c r="E79" s="32"/>
      <c r="F79" s="32"/>
      <c r="G79" s="32"/>
      <c r="H79" s="33" t="s">
        <v>25</v>
      </c>
      <c r="I79" s="34">
        <v>45748.0</v>
      </c>
      <c r="J79" s="35" t="s">
        <v>26</v>
      </c>
      <c r="K79" s="36"/>
      <c r="L79" s="33" t="s">
        <v>25</v>
      </c>
      <c r="M79" s="34">
        <v>45748.0</v>
      </c>
      <c r="N79" s="35" t="s">
        <v>27</v>
      </c>
      <c r="O79" s="36"/>
      <c r="P79" s="33" t="s">
        <v>25</v>
      </c>
      <c r="Q79" s="34">
        <v>45690.0</v>
      </c>
      <c r="R79" s="35" t="s">
        <v>28</v>
      </c>
      <c r="S79" s="36"/>
      <c r="T79" s="36"/>
      <c r="U79" s="36"/>
      <c r="V79" s="37"/>
      <c r="W79" s="3"/>
      <c r="X79" s="50" t="s">
        <v>39</v>
      </c>
      <c r="Y79" s="51" t="s">
        <v>40</v>
      </c>
      <c r="Z79" s="52"/>
      <c r="AA79" s="50" t="s">
        <v>41</v>
      </c>
      <c r="AB79" s="51" t="s">
        <v>42</v>
      </c>
      <c r="AC79" s="52"/>
      <c r="AD79" s="50" t="s">
        <v>41</v>
      </c>
      <c r="AE79" s="76" t="s">
        <v>42</v>
      </c>
      <c r="AF79" s="77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ht="15.75" customHeight="1" outlineLevel="1">
      <c r="A80" s="3"/>
      <c r="B80" s="41"/>
      <c r="C80" s="42"/>
      <c r="D80" s="43"/>
      <c r="E80" s="44"/>
      <c r="F80" s="45"/>
      <c r="G80" s="45"/>
      <c r="H80" s="46" t="s">
        <v>31</v>
      </c>
      <c r="I80" s="47"/>
      <c r="J80" s="48" t="s">
        <v>32</v>
      </c>
      <c r="K80" s="47"/>
      <c r="L80" s="46" t="s">
        <v>31</v>
      </c>
      <c r="M80" s="47"/>
      <c r="N80" s="48" t="s">
        <v>32</v>
      </c>
      <c r="O80" s="47"/>
      <c r="P80" s="46" t="s">
        <v>31</v>
      </c>
      <c r="Q80" s="47"/>
      <c r="R80" s="48" t="s">
        <v>32</v>
      </c>
      <c r="S80" s="47"/>
      <c r="T80" s="47"/>
      <c r="U80" s="47"/>
      <c r="V80" s="49"/>
      <c r="W80" s="3"/>
      <c r="X80" s="50" t="s">
        <v>45</v>
      </c>
      <c r="Y80" s="51" t="s">
        <v>46</v>
      </c>
      <c r="Z80" s="52"/>
      <c r="AA80" s="50" t="s">
        <v>47</v>
      </c>
      <c r="AB80" s="51" t="s">
        <v>121</v>
      </c>
      <c r="AC80" s="52"/>
      <c r="AD80" s="50" t="s">
        <v>122</v>
      </c>
      <c r="AE80" s="88"/>
      <c r="AF80" s="77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ht="15.75" customHeight="1" outlineLevel="1">
      <c r="A81" s="3"/>
      <c r="B81" s="26">
        <v>1.0</v>
      </c>
      <c r="C81" s="3"/>
      <c r="D81" s="100" t="s">
        <v>123</v>
      </c>
      <c r="E81" s="3"/>
      <c r="F81" s="3"/>
      <c r="G81" s="25"/>
      <c r="H81" s="59">
        <v>45748.0</v>
      </c>
      <c r="I81" s="60" t="s">
        <v>124</v>
      </c>
      <c r="J81" s="61" t="s">
        <v>125</v>
      </c>
      <c r="K81" s="25"/>
      <c r="L81" s="55"/>
      <c r="M81" s="56"/>
      <c r="N81" s="57"/>
      <c r="O81" s="56"/>
      <c r="P81" s="59">
        <v>45690.0</v>
      </c>
      <c r="Q81" s="60" t="s">
        <v>124</v>
      </c>
      <c r="R81" s="85" t="s">
        <v>77</v>
      </c>
      <c r="S81" s="28"/>
      <c r="T81" s="28"/>
      <c r="U81" s="28"/>
      <c r="V81" s="54"/>
      <c r="W81" s="3"/>
      <c r="X81" s="50" t="s">
        <v>49</v>
      </c>
      <c r="Y81" s="51" t="s">
        <v>50</v>
      </c>
      <c r="Z81" s="52"/>
      <c r="AA81" s="73" t="s">
        <v>51</v>
      </c>
      <c r="AB81" s="74" t="s">
        <v>126</v>
      </c>
      <c r="AC81" s="52"/>
      <c r="AD81" s="50" t="s">
        <v>127</v>
      </c>
      <c r="AE81" s="101" t="s">
        <v>128</v>
      </c>
      <c r="AF81" s="77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ht="15.75" customHeight="1" outlineLevel="1">
      <c r="A82" s="3"/>
      <c r="B82" s="23"/>
      <c r="C82" s="3"/>
      <c r="D82" s="63" t="s">
        <v>129</v>
      </c>
      <c r="E82" s="3"/>
      <c r="F82" s="3"/>
      <c r="G82" s="25"/>
      <c r="H82" s="3"/>
      <c r="I82" s="25"/>
      <c r="J82" s="3"/>
      <c r="K82" s="25"/>
      <c r="L82" s="64"/>
      <c r="M82" s="65"/>
      <c r="N82" s="64"/>
      <c r="O82" s="65"/>
      <c r="P82" s="102"/>
      <c r="Q82" s="65"/>
      <c r="R82" s="95"/>
      <c r="S82" s="3"/>
      <c r="T82" s="3"/>
      <c r="U82" s="3"/>
      <c r="V82" s="25"/>
      <c r="W82" s="3"/>
      <c r="X82" s="50" t="s">
        <v>56</v>
      </c>
      <c r="Y82" s="76" t="s">
        <v>57</v>
      </c>
      <c r="Z82" s="77"/>
      <c r="AA82" s="50" t="s">
        <v>58</v>
      </c>
      <c r="AB82" s="76" t="s">
        <v>59</v>
      </c>
      <c r="AC82" s="77"/>
      <c r="AD82" s="50" t="s">
        <v>130</v>
      </c>
      <c r="AE82" s="76" t="s">
        <v>131</v>
      </c>
      <c r="AF82" s="77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ht="15.75" customHeight="1" outlineLevel="1">
      <c r="A83" s="3"/>
      <c r="B83" s="78"/>
      <c r="C83" s="68"/>
      <c r="D83" s="67"/>
      <c r="E83" s="68"/>
      <c r="F83" s="68"/>
      <c r="G83" s="69"/>
      <c r="H83" s="68"/>
      <c r="I83" s="69"/>
      <c r="J83" s="68"/>
      <c r="K83" s="69"/>
      <c r="L83" s="70"/>
      <c r="M83" s="71"/>
      <c r="N83" s="70"/>
      <c r="O83" s="71"/>
      <c r="P83" s="68"/>
      <c r="Q83" s="69"/>
      <c r="R83" s="68"/>
      <c r="S83" s="68"/>
      <c r="T83" s="68"/>
      <c r="U83" s="68"/>
      <c r="V83" s="69"/>
      <c r="W83" s="3"/>
      <c r="X83" s="50" t="s">
        <v>60</v>
      </c>
      <c r="Y83" s="76" t="s">
        <v>61</v>
      </c>
      <c r="Z83" s="77"/>
      <c r="AA83" s="50" t="s">
        <v>62</v>
      </c>
      <c r="AB83" s="76" t="s">
        <v>59</v>
      </c>
      <c r="AC83" s="77"/>
      <c r="AD83" s="50" t="s">
        <v>132</v>
      </c>
      <c r="AE83" s="76" t="s">
        <v>59</v>
      </c>
      <c r="AF83" s="77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ht="15.75" customHeight="1" outlineLevel="1">
      <c r="A84" s="3"/>
      <c r="B84" s="26">
        <v>2.0</v>
      </c>
      <c r="C84" s="3"/>
      <c r="D84" s="100" t="s">
        <v>123</v>
      </c>
      <c r="E84" s="3"/>
      <c r="F84" s="3"/>
      <c r="G84" s="25"/>
      <c r="H84" s="55"/>
      <c r="I84" s="56"/>
      <c r="J84" s="57"/>
      <c r="K84" s="65"/>
      <c r="L84" s="59">
        <v>45749.0</v>
      </c>
      <c r="M84" s="60" t="s">
        <v>133</v>
      </c>
      <c r="N84" s="61" t="s">
        <v>134</v>
      </c>
      <c r="O84" s="25"/>
      <c r="P84" s="59">
        <v>45690.0</v>
      </c>
      <c r="Q84" s="103" t="s">
        <v>133</v>
      </c>
      <c r="R84" s="104" t="s">
        <v>84</v>
      </c>
      <c r="S84" s="3"/>
      <c r="T84" s="3"/>
      <c r="U84" s="3"/>
      <c r="V84" s="25"/>
      <c r="W84" s="3"/>
      <c r="X84" s="50" t="s">
        <v>63</v>
      </c>
      <c r="Y84" s="76" t="s">
        <v>64</v>
      </c>
      <c r="Z84" s="77"/>
      <c r="AA84" s="50" t="s">
        <v>65</v>
      </c>
      <c r="AB84" s="76" t="s">
        <v>66</v>
      </c>
      <c r="AC84" s="77"/>
      <c r="AD84" s="50" t="s">
        <v>135</v>
      </c>
      <c r="AE84" s="76" t="s">
        <v>136</v>
      </c>
      <c r="AF84" s="77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ht="15.75" customHeight="1" outlineLevel="1">
      <c r="A85" s="3"/>
      <c r="B85" s="23"/>
      <c r="C85" s="3"/>
      <c r="D85" s="63" t="s">
        <v>137</v>
      </c>
      <c r="E85" s="3"/>
      <c r="F85" s="3"/>
      <c r="G85" s="25"/>
      <c r="H85" s="66"/>
      <c r="I85" s="65"/>
      <c r="J85" s="66"/>
      <c r="K85" s="65"/>
      <c r="L85" s="3"/>
      <c r="M85" s="25"/>
      <c r="N85" s="3"/>
      <c r="O85" s="25"/>
      <c r="P85" s="102"/>
      <c r="Q85" s="65"/>
      <c r="R85" s="104" t="s">
        <v>89</v>
      </c>
      <c r="S85" s="3"/>
      <c r="T85" s="3"/>
      <c r="U85" s="3"/>
      <c r="V85" s="25"/>
      <c r="W85" s="3"/>
      <c r="X85" s="80" t="s">
        <v>72</v>
      </c>
      <c r="Y85" s="81" t="s">
        <v>73</v>
      </c>
      <c r="Z85" s="82"/>
      <c r="AA85" s="80" t="s">
        <v>72</v>
      </c>
      <c r="AB85" s="81" t="s">
        <v>74</v>
      </c>
      <c r="AC85" s="82"/>
      <c r="AD85" s="50" t="s">
        <v>130</v>
      </c>
      <c r="AE85" s="88"/>
      <c r="AF85" s="77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ht="15.75" customHeight="1" outlineLevel="1">
      <c r="A86" s="3"/>
      <c r="B86" s="78"/>
      <c r="C86" s="68"/>
      <c r="D86" s="67"/>
      <c r="E86" s="68"/>
      <c r="F86" s="68"/>
      <c r="G86" s="69"/>
      <c r="H86" s="72"/>
      <c r="I86" s="71"/>
      <c r="J86" s="72"/>
      <c r="K86" s="71"/>
      <c r="L86" s="68"/>
      <c r="M86" s="69"/>
      <c r="N86" s="68"/>
      <c r="O86" s="69"/>
      <c r="P86" s="67"/>
      <c r="Q86" s="69"/>
      <c r="R86" s="68"/>
      <c r="S86" s="68"/>
      <c r="T86" s="68"/>
      <c r="U86" s="68"/>
      <c r="V86" s="69"/>
      <c r="W86" s="3"/>
      <c r="X86" s="38" t="s">
        <v>138</v>
      </c>
      <c r="Y86" s="39"/>
      <c r="Z86" s="40"/>
      <c r="AA86" s="38" t="s">
        <v>139</v>
      </c>
      <c r="AB86" s="39"/>
      <c r="AC86" s="40"/>
      <c r="AD86" s="50" t="s">
        <v>140</v>
      </c>
      <c r="AE86" s="88"/>
      <c r="AF86" s="77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ht="15.75" customHeight="1" outlineLevel="1">
      <c r="A87" s="3"/>
      <c r="B87" s="26">
        <v>3.0</v>
      </c>
      <c r="C87" s="3"/>
      <c r="D87" s="100" t="s">
        <v>123</v>
      </c>
      <c r="E87" s="3"/>
      <c r="F87" s="3"/>
      <c r="G87" s="25"/>
      <c r="H87" s="55"/>
      <c r="I87" s="56"/>
      <c r="J87" s="57"/>
      <c r="K87" s="65"/>
      <c r="L87" s="59">
        <v>45749.0</v>
      </c>
      <c r="M87" s="60" t="s">
        <v>141</v>
      </c>
      <c r="N87" s="61" t="s">
        <v>134</v>
      </c>
      <c r="O87" s="25"/>
      <c r="P87" s="59">
        <v>45690.0</v>
      </c>
      <c r="Q87" s="60" t="s">
        <v>141</v>
      </c>
      <c r="R87" s="86" t="s">
        <v>89</v>
      </c>
      <c r="S87" s="3"/>
      <c r="T87" s="3"/>
      <c r="U87" s="3"/>
      <c r="V87" s="25"/>
      <c r="W87" s="3"/>
      <c r="X87" s="50" t="s">
        <v>33</v>
      </c>
      <c r="Y87" s="51" t="s">
        <v>80</v>
      </c>
      <c r="Z87" s="52"/>
      <c r="AA87" s="50" t="s">
        <v>81</v>
      </c>
      <c r="AB87" s="76" t="s">
        <v>82</v>
      </c>
      <c r="AC87" s="77"/>
      <c r="AD87" s="50" t="s">
        <v>72</v>
      </c>
      <c r="AE87" s="88"/>
      <c r="AF87" s="77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ht="15.75" customHeight="1" outlineLevel="1">
      <c r="A88" s="3"/>
      <c r="B88" s="23"/>
      <c r="C88" s="3"/>
      <c r="D88" s="63" t="s">
        <v>142</v>
      </c>
      <c r="E88" s="3"/>
      <c r="F88" s="3"/>
      <c r="G88" s="25"/>
      <c r="H88" s="66"/>
      <c r="I88" s="65"/>
      <c r="J88" s="66"/>
      <c r="K88" s="65"/>
      <c r="L88" s="3"/>
      <c r="M88" s="25"/>
      <c r="N88" s="3"/>
      <c r="O88" s="25"/>
      <c r="P88" s="3"/>
      <c r="Q88" s="25"/>
      <c r="R88" s="91"/>
      <c r="S88" s="3"/>
      <c r="T88" s="3"/>
      <c r="U88" s="3"/>
      <c r="V88" s="25"/>
      <c r="W88" s="24"/>
      <c r="X88" s="50" t="s">
        <v>41</v>
      </c>
      <c r="Y88" s="87" t="s">
        <v>85</v>
      </c>
      <c r="Z88" s="52"/>
      <c r="AA88" s="50" t="s">
        <v>86</v>
      </c>
      <c r="AB88" s="76" t="s">
        <v>87</v>
      </c>
      <c r="AC88" s="77"/>
      <c r="AD88" s="90"/>
      <c r="AE88" s="88"/>
      <c r="AF88" s="77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ht="15.75" customHeight="1" outlineLevel="1">
      <c r="A89" s="3"/>
      <c r="B89" s="78"/>
      <c r="C89" s="68"/>
      <c r="D89" s="67"/>
      <c r="E89" s="68"/>
      <c r="F89" s="68"/>
      <c r="G89" s="69"/>
      <c r="H89" s="72"/>
      <c r="I89" s="71"/>
      <c r="J89" s="72"/>
      <c r="K89" s="71"/>
      <c r="L89" s="68"/>
      <c r="M89" s="69"/>
      <c r="N89" s="68"/>
      <c r="O89" s="69"/>
      <c r="P89" s="68"/>
      <c r="Q89" s="69"/>
      <c r="R89" s="3"/>
      <c r="S89" s="68"/>
      <c r="T89" s="68"/>
      <c r="U89" s="68"/>
      <c r="V89" s="69"/>
      <c r="W89" s="3"/>
      <c r="X89" s="50" t="s">
        <v>90</v>
      </c>
      <c r="Y89" s="51" t="s">
        <v>91</v>
      </c>
      <c r="Z89" s="52"/>
      <c r="AA89" s="50" t="s">
        <v>92</v>
      </c>
      <c r="AB89" s="88"/>
      <c r="AC89" s="77"/>
      <c r="AD89" s="90"/>
      <c r="AE89" s="88"/>
      <c r="AF89" s="77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ht="15.75" customHeight="1" outlineLevel="1">
      <c r="A90" s="3"/>
      <c r="B90" s="26">
        <v>4.0</v>
      </c>
      <c r="C90" s="3"/>
      <c r="D90" s="100" t="s">
        <v>123</v>
      </c>
      <c r="E90" s="3"/>
      <c r="F90" s="3"/>
      <c r="G90" s="25"/>
      <c r="H90" s="55"/>
      <c r="I90" s="56"/>
      <c r="J90" s="57"/>
      <c r="K90" s="65"/>
      <c r="L90" s="59">
        <v>45749.0</v>
      </c>
      <c r="M90" s="60" t="s">
        <v>143</v>
      </c>
      <c r="N90" s="61" t="s">
        <v>134</v>
      </c>
      <c r="O90" s="65"/>
      <c r="P90" s="59">
        <v>45690.0</v>
      </c>
      <c r="Q90" s="60" t="s">
        <v>143</v>
      </c>
      <c r="R90" s="86" t="s">
        <v>89</v>
      </c>
      <c r="S90" s="3"/>
      <c r="T90" s="3"/>
      <c r="U90" s="3"/>
      <c r="V90" s="25"/>
      <c r="W90" s="3"/>
      <c r="X90" s="50" t="s">
        <v>93</v>
      </c>
      <c r="Y90" s="89"/>
      <c r="Z90" s="52"/>
      <c r="AA90" s="50" t="s">
        <v>62</v>
      </c>
      <c r="AB90" s="88"/>
      <c r="AC90" s="77"/>
      <c r="AD90" s="90"/>
      <c r="AE90" s="88"/>
      <c r="AF90" s="77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ht="15.75" customHeight="1" outlineLevel="1">
      <c r="A91" s="3"/>
      <c r="B91" s="23"/>
      <c r="C91" s="3"/>
      <c r="D91" s="63" t="s">
        <v>144</v>
      </c>
      <c r="E91" s="3"/>
      <c r="F91" s="3"/>
      <c r="G91" s="25"/>
      <c r="H91" s="66"/>
      <c r="I91" s="65"/>
      <c r="J91" s="66"/>
      <c r="K91" s="65"/>
      <c r="L91" s="66"/>
      <c r="M91" s="65"/>
      <c r="N91" s="66"/>
      <c r="O91" s="65"/>
      <c r="P91" s="102"/>
      <c r="Q91" s="65"/>
      <c r="R91" s="91"/>
      <c r="S91" s="3"/>
      <c r="T91" s="3"/>
      <c r="U91" s="3"/>
      <c r="V91" s="25"/>
      <c r="W91" s="3"/>
      <c r="X91" s="50" t="s">
        <v>95</v>
      </c>
      <c r="Y91" s="88"/>
      <c r="Z91" s="77"/>
      <c r="AA91" s="90"/>
      <c r="AB91" s="88"/>
      <c r="AC91" s="77"/>
      <c r="AD91" s="90"/>
      <c r="AE91" s="88"/>
      <c r="AF91" s="77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ht="15.75" customHeight="1" outlineLevel="1">
      <c r="A92" s="3"/>
      <c r="B92" s="78"/>
      <c r="C92" s="68"/>
      <c r="D92" s="67"/>
      <c r="E92" s="68"/>
      <c r="F92" s="68"/>
      <c r="G92" s="69"/>
      <c r="H92" s="72"/>
      <c r="I92" s="71"/>
      <c r="J92" s="72"/>
      <c r="K92" s="71"/>
      <c r="L92" s="72"/>
      <c r="M92" s="71"/>
      <c r="N92" s="72"/>
      <c r="O92" s="71"/>
      <c r="P92" s="3"/>
      <c r="Q92" s="25"/>
      <c r="R92" s="68"/>
      <c r="S92" s="3"/>
      <c r="T92" s="3"/>
      <c r="U92" s="3"/>
      <c r="V92" s="25"/>
      <c r="W92" s="3"/>
      <c r="X92" s="80" t="s">
        <v>72</v>
      </c>
      <c r="Y92" s="81" t="s">
        <v>73</v>
      </c>
      <c r="Z92" s="82"/>
      <c r="AA92" s="92"/>
      <c r="AB92" s="93"/>
      <c r="AC92" s="82"/>
      <c r="AD92" s="92"/>
      <c r="AE92" s="93"/>
      <c r="AF92" s="82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ht="15.75" customHeight="1" outlineLevel="1">
      <c r="A93" s="3"/>
      <c r="B93" s="26">
        <v>4.0</v>
      </c>
      <c r="C93" s="3"/>
      <c r="D93" s="75" t="s">
        <v>145</v>
      </c>
      <c r="E93" s="3"/>
      <c r="F93" s="3"/>
      <c r="G93" s="25"/>
      <c r="H93" s="55"/>
      <c r="I93" s="56"/>
      <c r="J93" s="57"/>
      <c r="K93" s="65"/>
      <c r="L93" s="55"/>
      <c r="M93" s="56"/>
      <c r="N93" s="57"/>
      <c r="O93" s="65"/>
      <c r="P93" s="59">
        <v>45690.0</v>
      </c>
      <c r="Q93" s="103" t="s">
        <v>146</v>
      </c>
      <c r="R93" s="104" t="s">
        <v>147</v>
      </c>
      <c r="S93" s="28"/>
      <c r="T93" s="28"/>
      <c r="U93" s="28"/>
      <c r="V93" s="54"/>
      <c r="W93" s="3"/>
      <c r="X93" s="50" t="s">
        <v>93</v>
      </c>
      <c r="Y93" s="89"/>
      <c r="Z93" s="52"/>
      <c r="AA93" s="50" t="s">
        <v>62</v>
      </c>
      <c r="AB93" s="88"/>
      <c r="AC93" s="77"/>
      <c r="AD93" s="88"/>
      <c r="AE93" s="88"/>
      <c r="AF93" s="88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ht="15.75" customHeight="1" outlineLevel="1">
      <c r="A94" s="3"/>
      <c r="B94" s="23"/>
      <c r="C94" s="3"/>
      <c r="D94" s="63" t="s">
        <v>148</v>
      </c>
      <c r="E94" s="3"/>
      <c r="F94" s="3"/>
      <c r="G94" s="25"/>
      <c r="H94" s="66"/>
      <c r="I94" s="65"/>
      <c r="J94" s="66"/>
      <c r="K94" s="65"/>
      <c r="L94" s="66"/>
      <c r="M94" s="65"/>
      <c r="N94" s="66"/>
      <c r="O94" s="65"/>
      <c r="P94" s="102"/>
      <c r="Q94" s="65"/>
      <c r="R94" s="104" t="s">
        <v>149</v>
      </c>
      <c r="S94" s="3"/>
      <c r="T94" s="3"/>
      <c r="U94" s="3"/>
      <c r="V94" s="25"/>
      <c r="W94" s="3"/>
      <c r="X94" s="50" t="s">
        <v>95</v>
      </c>
      <c r="Y94" s="88"/>
      <c r="Z94" s="77"/>
      <c r="AA94" s="90"/>
      <c r="AB94" s="88"/>
      <c r="AC94" s="77"/>
      <c r="AD94" s="88"/>
      <c r="AE94" s="88"/>
      <c r="AF94" s="88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ht="15.75" customHeight="1" outlineLevel="1">
      <c r="A95" s="3"/>
      <c r="B95" s="78"/>
      <c r="C95" s="68"/>
      <c r="D95" s="67"/>
      <c r="E95" s="68"/>
      <c r="F95" s="68"/>
      <c r="G95" s="69"/>
      <c r="H95" s="72"/>
      <c r="I95" s="71"/>
      <c r="J95" s="72"/>
      <c r="K95" s="71"/>
      <c r="L95" s="72"/>
      <c r="M95" s="71"/>
      <c r="N95" s="72"/>
      <c r="O95" s="71"/>
      <c r="P95" s="68"/>
      <c r="Q95" s="69"/>
      <c r="R95" s="68"/>
      <c r="S95" s="68"/>
      <c r="T95" s="68"/>
      <c r="U95" s="68"/>
      <c r="V95" s="69"/>
      <c r="W95" s="3"/>
      <c r="X95" s="80" t="s">
        <v>72</v>
      </c>
      <c r="Y95" s="81" t="s">
        <v>73</v>
      </c>
      <c r="Z95" s="82"/>
      <c r="AA95" s="92"/>
      <c r="AB95" s="93"/>
      <c r="AC95" s="82"/>
      <c r="AD95" s="88"/>
      <c r="AE95" s="88"/>
      <c r="AF95" s="88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ht="15.75" customHeight="1">
      <c r="A97" s="4" t="s">
        <v>150</v>
      </c>
      <c r="B97" s="105" t="s">
        <v>151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ht="15.75" customHeight="1" outlineLevel="1">
      <c r="A98" s="3"/>
      <c r="B98" s="8" t="s">
        <v>3</v>
      </c>
      <c r="C98" s="7"/>
      <c r="D98" s="7"/>
      <c r="E98" s="7"/>
      <c r="F98" s="7"/>
      <c r="G98" s="7"/>
      <c r="H98" s="8" t="s">
        <v>4</v>
      </c>
      <c r="I98" s="7"/>
      <c r="J98" s="7"/>
      <c r="K98" s="7"/>
      <c r="L98" s="7"/>
      <c r="M98" s="7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ht="15.75" customHeight="1" outlineLevel="1">
      <c r="A99" s="3"/>
      <c r="B99" s="100" t="s">
        <v>5</v>
      </c>
      <c r="C99" s="10" t="s">
        <v>152</v>
      </c>
      <c r="D99" s="11"/>
      <c r="E99" s="11"/>
      <c r="F99" s="11"/>
      <c r="G99" s="12"/>
      <c r="H99" s="13" t="s">
        <v>22</v>
      </c>
      <c r="I99" s="11"/>
      <c r="J99" s="11"/>
      <c r="K99" s="11"/>
      <c r="L99" s="3"/>
      <c r="M99" s="12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ht="15.75" customHeight="1" outlineLevel="1">
      <c r="A100" s="3"/>
      <c r="B100" s="106"/>
      <c r="C100" s="3"/>
      <c r="D100" s="15"/>
      <c r="E100" s="15"/>
      <c r="F100" s="15"/>
      <c r="G100" s="16"/>
      <c r="H100" s="17"/>
      <c r="I100" s="15"/>
      <c r="J100" s="15"/>
      <c r="K100" s="15"/>
      <c r="L100" s="3"/>
      <c r="M100" s="1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ht="15.75" customHeight="1" outlineLevel="1">
      <c r="A101" s="3"/>
      <c r="B101" s="75" t="s">
        <v>9</v>
      </c>
      <c r="C101" s="19" t="s">
        <v>153</v>
      </c>
      <c r="D101" s="15"/>
      <c r="E101" s="15"/>
      <c r="F101" s="15"/>
      <c r="G101" s="15"/>
      <c r="H101" s="21" t="s">
        <v>22</v>
      </c>
      <c r="I101" s="15"/>
      <c r="J101" s="15"/>
      <c r="K101" s="15"/>
      <c r="L101" s="3"/>
      <c r="M101" s="1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ht="15.75" customHeight="1" outlineLevel="1">
      <c r="A102" s="3"/>
      <c r="B102" s="106"/>
      <c r="C102" s="4" t="s">
        <v>154</v>
      </c>
      <c r="D102" s="15"/>
      <c r="E102" s="15"/>
      <c r="F102" s="15"/>
      <c r="G102" s="15"/>
      <c r="H102" s="17"/>
      <c r="I102" s="15"/>
      <c r="J102" s="15"/>
      <c r="K102" s="15"/>
      <c r="L102" s="3"/>
      <c r="M102" s="1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ht="15.75" customHeight="1" outlineLevel="1">
      <c r="A103" s="3"/>
      <c r="B103" s="75" t="s">
        <v>11</v>
      </c>
      <c r="C103" s="19" t="s">
        <v>153</v>
      </c>
      <c r="D103" s="15"/>
      <c r="E103" s="15"/>
      <c r="F103" s="15"/>
      <c r="G103" s="15"/>
      <c r="H103" s="21" t="s">
        <v>22</v>
      </c>
      <c r="I103" s="15"/>
      <c r="J103" s="15"/>
      <c r="K103" s="15"/>
      <c r="L103" s="3"/>
      <c r="M103" s="1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ht="15.75" customHeight="1" outlineLevel="1">
      <c r="A104" s="3"/>
      <c r="B104" s="24"/>
      <c r="C104" s="4" t="s">
        <v>155</v>
      </c>
      <c r="D104" s="3"/>
      <c r="E104" s="3"/>
      <c r="F104" s="3"/>
      <c r="G104" s="3"/>
      <c r="H104" s="24"/>
      <c r="I104" s="3"/>
      <c r="J104" s="3"/>
      <c r="K104" s="3"/>
      <c r="L104" s="3"/>
      <c r="M104" s="25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ht="15.75" customHeight="1" outlineLevel="1">
      <c r="A105" s="3"/>
      <c r="B105" s="26">
        <v>4.0</v>
      </c>
      <c r="C105" s="19" t="s">
        <v>153</v>
      </c>
      <c r="D105" s="3"/>
      <c r="E105" s="3"/>
      <c r="F105" s="3"/>
      <c r="G105" s="3"/>
      <c r="H105" s="21" t="s">
        <v>22</v>
      </c>
      <c r="I105" s="3"/>
      <c r="J105" s="3"/>
      <c r="K105" s="3"/>
      <c r="L105" s="3"/>
      <c r="M105" s="25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ht="15.75" customHeight="1" outlineLevel="1">
      <c r="A106" s="3"/>
      <c r="B106" s="23"/>
      <c r="C106" s="4" t="s">
        <v>156</v>
      </c>
      <c r="D106" s="3"/>
      <c r="E106" s="3"/>
      <c r="F106" s="3"/>
      <c r="G106" s="3"/>
      <c r="H106" s="17"/>
      <c r="I106" s="3"/>
      <c r="J106" s="3"/>
      <c r="K106" s="3"/>
      <c r="L106" s="3"/>
      <c r="M106" s="25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ht="15.75" customHeight="1" outlineLevel="1">
      <c r="A107" s="3"/>
      <c r="B107" s="26">
        <v>5.0</v>
      </c>
      <c r="C107" s="19" t="s">
        <v>153</v>
      </c>
      <c r="D107" s="3"/>
      <c r="E107" s="3"/>
      <c r="F107" s="3"/>
      <c r="G107" s="3"/>
      <c r="H107" s="21" t="s">
        <v>22</v>
      </c>
      <c r="I107" s="3"/>
      <c r="J107" s="3"/>
      <c r="K107" s="3"/>
      <c r="L107" s="3"/>
      <c r="M107" s="25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ht="15.75" customHeight="1" outlineLevel="1">
      <c r="A108" s="3"/>
      <c r="B108" s="23"/>
      <c r="C108" s="4" t="s">
        <v>157</v>
      </c>
      <c r="D108" s="3"/>
      <c r="E108" s="3"/>
      <c r="F108" s="3"/>
      <c r="G108" s="3"/>
      <c r="H108" s="17"/>
      <c r="I108" s="3"/>
      <c r="J108" s="3"/>
      <c r="K108" s="3"/>
      <c r="L108" s="3"/>
      <c r="M108" s="25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ht="15.75" customHeight="1" outlineLevel="1">
      <c r="A109" s="3"/>
      <c r="B109" s="26">
        <v>6.0</v>
      </c>
      <c r="C109" s="19" t="s">
        <v>158</v>
      </c>
      <c r="D109" s="3"/>
      <c r="E109" s="3"/>
      <c r="F109" s="3"/>
      <c r="G109" s="3"/>
      <c r="H109" s="21" t="s">
        <v>22</v>
      </c>
      <c r="I109" s="3"/>
      <c r="J109" s="3"/>
      <c r="K109" s="3"/>
      <c r="L109" s="3"/>
      <c r="M109" s="25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ht="15.75" customHeight="1" outlineLevel="1">
      <c r="A110" s="3"/>
      <c r="B110" s="24"/>
      <c r="C110" s="15"/>
      <c r="D110" s="3"/>
      <c r="E110" s="3"/>
      <c r="F110" s="3"/>
      <c r="G110" s="3"/>
      <c r="H110" s="17"/>
      <c r="I110" s="3"/>
      <c r="J110" s="3"/>
      <c r="K110" s="3"/>
      <c r="L110" s="3"/>
      <c r="M110" s="25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ht="15.75" customHeight="1" outlineLevel="1">
      <c r="A111" s="3"/>
      <c r="B111" s="28"/>
      <c r="C111" s="28"/>
      <c r="D111" s="28"/>
      <c r="E111" s="28"/>
      <c r="F111" s="28"/>
      <c r="G111" s="28"/>
      <c r="H111" s="29"/>
      <c r="I111" s="28"/>
      <c r="J111" s="28"/>
      <c r="K111" s="28"/>
      <c r="L111" s="28"/>
      <c r="M111" s="28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ht="15.75" customHeight="1" outlineLevel="1">
      <c r="A112" s="3"/>
      <c r="B112" s="30" t="s">
        <v>23</v>
      </c>
      <c r="C112" s="31"/>
      <c r="D112" s="30" t="s">
        <v>24</v>
      </c>
      <c r="E112" s="32"/>
      <c r="F112" s="32"/>
      <c r="G112" s="32"/>
      <c r="H112" s="33" t="s">
        <v>25</v>
      </c>
      <c r="I112" s="34">
        <v>45748.0</v>
      </c>
      <c r="J112" s="35" t="s">
        <v>26</v>
      </c>
      <c r="K112" s="36"/>
      <c r="L112" s="33" t="s">
        <v>25</v>
      </c>
      <c r="M112" s="34">
        <v>45748.0</v>
      </c>
      <c r="N112" s="35" t="s">
        <v>27</v>
      </c>
      <c r="O112" s="36"/>
      <c r="P112" s="33" t="s">
        <v>25</v>
      </c>
      <c r="Q112" s="34">
        <v>45690.0</v>
      </c>
      <c r="R112" s="35" t="s">
        <v>159</v>
      </c>
      <c r="S112" s="36"/>
      <c r="T112" s="36"/>
      <c r="U112" s="36"/>
      <c r="V112" s="37"/>
      <c r="W112" s="3"/>
      <c r="X112" s="38" t="s">
        <v>118</v>
      </c>
      <c r="Y112" s="39"/>
      <c r="Z112" s="40"/>
      <c r="AA112" s="38" t="s">
        <v>160</v>
      </c>
      <c r="AB112" s="39"/>
      <c r="AC112" s="40"/>
      <c r="AD112" s="38" t="s">
        <v>161</v>
      </c>
      <c r="AE112" s="39"/>
      <c r="AF112" s="40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ht="15.75" customHeight="1" outlineLevel="1">
      <c r="A113" s="3"/>
      <c r="B113" s="41"/>
      <c r="C113" s="42"/>
      <c r="D113" s="43"/>
      <c r="E113" s="44"/>
      <c r="F113" s="45"/>
      <c r="G113" s="45"/>
      <c r="H113" s="46" t="s">
        <v>31</v>
      </c>
      <c r="I113" s="47"/>
      <c r="J113" s="48" t="s">
        <v>32</v>
      </c>
      <c r="K113" s="47"/>
      <c r="L113" s="46" t="s">
        <v>31</v>
      </c>
      <c r="M113" s="47"/>
      <c r="N113" s="48" t="s">
        <v>32</v>
      </c>
      <c r="O113" s="47"/>
      <c r="P113" s="46" t="s">
        <v>31</v>
      </c>
      <c r="Q113" s="47"/>
      <c r="R113" s="48" t="s">
        <v>32</v>
      </c>
      <c r="S113" s="47"/>
      <c r="T113" s="47"/>
      <c r="U113" s="47"/>
      <c r="V113" s="49"/>
      <c r="W113" s="3"/>
      <c r="X113" s="50" t="s">
        <v>33</v>
      </c>
      <c r="Y113" s="51" t="s">
        <v>34</v>
      </c>
      <c r="Z113" s="52"/>
      <c r="AA113" s="73" t="s">
        <v>81</v>
      </c>
      <c r="AB113" s="74" t="s">
        <v>162</v>
      </c>
      <c r="AC113" s="89"/>
      <c r="AD113" s="50" t="s">
        <v>33</v>
      </c>
      <c r="AE113" s="51" t="s">
        <v>163</v>
      </c>
      <c r="AF113" s="52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ht="15.75" customHeight="1" outlineLevel="1">
      <c r="A114" s="3"/>
      <c r="B114" s="63">
        <v>1.0</v>
      </c>
      <c r="C114" s="3"/>
      <c r="D114" s="100" t="s">
        <v>164</v>
      </c>
      <c r="E114" s="3"/>
      <c r="F114" s="3"/>
      <c r="G114" s="25"/>
      <c r="H114" s="57"/>
      <c r="I114" s="56"/>
      <c r="J114" s="57"/>
      <c r="K114" s="56"/>
      <c r="L114" s="57"/>
      <c r="M114" s="56"/>
      <c r="N114" s="57"/>
      <c r="O114" s="56"/>
      <c r="P114" s="107">
        <v>45690.0</v>
      </c>
      <c r="Q114" s="60" t="s">
        <v>165</v>
      </c>
      <c r="R114" s="85" t="s">
        <v>166</v>
      </c>
      <c r="S114" s="94"/>
      <c r="T114" s="28"/>
      <c r="U114" s="28"/>
      <c r="V114" s="54"/>
      <c r="W114" s="3"/>
      <c r="X114" s="50" t="s">
        <v>39</v>
      </c>
      <c r="Y114" s="51" t="s">
        <v>40</v>
      </c>
      <c r="Z114" s="52"/>
      <c r="AA114" s="50" t="s">
        <v>92</v>
      </c>
      <c r="AB114" s="51" t="s">
        <v>167</v>
      </c>
      <c r="AC114" s="89"/>
      <c r="AD114" s="50" t="s">
        <v>41</v>
      </c>
      <c r="AE114" s="87" t="s">
        <v>168</v>
      </c>
      <c r="AF114" s="52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ht="15.75" customHeight="1" outlineLevel="1">
      <c r="A115" s="3"/>
      <c r="B115" s="24"/>
      <c r="C115" s="3"/>
      <c r="D115" s="24"/>
      <c r="E115" s="3"/>
      <c r="F115" s="3"/>
      <c r="G115" s="25"/>
      <c r="H115" s="64"/>
      <c r="I115" s="65"/>
      <c r="J115" s="64"/>
      <c r="K115" s="65"/>
      <c r="L115" s="64"/>
      <c r="M115" s="65"/>
      <c r="N115" s="64"/>
      <c r="O115" s="65"/>
      <c r="P115" s="64"/>
      <c r="Q115" s="65"/>
      <c r="R115" s="95"/>
      <c r="S115" s="95"/>
      <c r="T115" s="3"/>
      <c r="U115" s="3"/>
      <c r="V115" s="25"/>
      <c r="W115" s="3"/>
      <c r="X115" s="50" t="s">
        <v>45</v>
      </c>
      <c r="Y115" s="51" t="s">
        <v>46</v>
      </c>
      <c r="Z115" s="52"/>
      <c r="AA115" s="50" t="s">
        <v>62</v>
      </c>
      <c r="AB115" s="51" t="s">
        <v>59</v>
      </c>
      <c r="AC115" s="89"/>
      <c r="AD115" s="50" t="s">
        <v>169</v>
      </c>
      <c r="AE115" s="51" t="s">
        <v>169</v>
      </c>
      <c r="AF115" s="52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ht="15.75" customHeight="1" outlineLevel="1">
      <c r="A116" s="3"/>
      <c r="B116" s="67"/>
      <c r="C116" s="68"/>
      <c r="D116" s="67"/>
      <c r="E116" s="68"/>
      <c r="F116" s="68"/>
      <c r="G116" s="69"/>
      <c r="H116" s="70"/>
      <c r="I116" s="71"/>
      <c r="J116" s="70"/>
      <c r="K116" s="71"/>
      <c r="L116" s="70"/>
      <c r="M116" s="71"/>
      <c r="N116" s="70"/>
      <c r="O116" s="71"/>
      <c r="P116" s="68"/>
      <c r="Q116" s="69"/>
      <c r="R116" s="95"/>
      <c r="S116" s="108"/>
      <c r="T116" s="68"/>
      <c r="U116" s="68"/>
      <c r="V116" s="69"/>
      <c r="W116" s="3"/>
      <c r="X116" s="50" t="s">
        <v>49</v>
      </c>
      <c r="Y116" s="51" t="s">
        <v>50</v>
      </c>
      <c r="Z116" s="52"/>
      <c r="AA116" s="90"/>
      <c r="AB116" s="89"/>
      <c r="AC116" s="89"/>
      <c r="AD116" s="50" t="s">
        <v>170</v>
      </c>
      <c r="AE116" s="51" t="s">
        <v>171</v>
      </c>
      <c r="AF116" s="52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ht="15.75" customHeight="1" outlineLevel="1">
      <c r="A117" s="3"/>
      <c r="B117" s="63">
        <v>2.0</v>
      </c>
      <c r="C117" s="3"/>
      <c r="D117" s="100" t="s">
        <v>172</v>
      </c>
      <c r="E117" s="3"/>
      <c r="F117" s="3"/>
      <c r="G117" s="25"/>
      <c r="H117" s="107">
        <v>45748.0</v>
      </c>
      <c r="I117" s="60" t="s">
        <v>173</v>
      </c>
      <c r="J117" s="61" t="s">
        <v>174</v>
      </c>
      <c r="K117" s="25"/>
      <c r="L117" s="57"/>
      <c r="M117" s="56"/>
      <c r="N117" s="57"/>
      <c r="O117" s="65"/>
      <c r="P117" s="107">
        <v>45690.0</v>
      </c>
      <c r="Q117" s="60" t="s">
        <v>173</v>
      </c>
      <c r="R117" s="109" t="s">
        <v>77</v>
      </c>
      <c r="S117" s="95"/>
      <c r="T117" s="3"/>
      <c r="U117" s="3"/>
      <c r="V117" s="25"/>
      <c r="W117" s="3"/>
      <c r="X117" s="50" t="s">
        <v>56</v>
      </c>
      <c r="Y117" s="76" t="s">
        <v>57</v>
      </c>
      <c r="Z117" s="77"/>
      <c r="AA117" s="90"/>
      <c r="AB117" s="88"/>
      <c r="AC117" s="88"/>
      <c r="AD117" s="50" t="s">
        <v>58</v>
      </c>
      <c r="AE117" s="76" t="s">
        <v>175</v>
      </c>
      <c r="AF117" s="77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ht="15.75" customHeight="1" outlineLevel="1">
      <c r="A118" s="3"/>
      <c r="B118" s="24"/>
      <c r="C118" s="3"/>
      <c r="D118" s="63" t="s">
        <v>176</v>
      </c>
      <c r="E118" s="3"/>
      <c r="F118" s="3"/>
      <c r="G118" s="25"/>
      <c r="H118" s="3"/>
      <c r="I118" s="25"/>
      <c r="J118" s="3"/>
      <c r="K118" s="25"/>
      <c r="L118" s="66"/>
      <c r="M118" s="65"/>
      <c r="N118" s="66"/>
      <c r="O118" s="65"/>
      <c r="P118" s="64"/>
      <c r="Q118" s="65"/>
      <c r="R118" s="110"/>
      <c r="S118" s="95"/>
      <c r="T118" s="3"/>
      <c r="U118" s="3"/>
      <c r="V118" s="25"/>
      <c r="W118" s="3"/>
      <c r="X118" s="50" t="s">
        <v>60</v>
      </c>
      <c r="Y118" s="76" t="s">
        <v>61</v>
      </c>
      <c r="Z118" s="77"/>
      <c r="AA118" s="90"/>
      <c r="AB118" s="88"/>
      <c r="AC118" s="88"/>
      <c r="AD118" s="50" t="s">
        <v>62</v>
      </c>
      <c r="AE118" s="76" t="s">
        <v>177</v>
      </c>
      <c r="AF118" s="77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ht="15.75" customHeight="1" outlineLevel="1">
      <c r="A119" s="3"/>
      <c r="B119" s="67"/>
      <c r="C119" s="68"/>
      <c r="D119" s="67"/>
      <c r="E119" s="68"/>
      <c r="F119" s="68"/>
      <c r="G119" s="69"/>
      <c r="H119" s="68"/>
      <c r="I119" s="69"/>
      <c r="J119" s="68"/>
      <c r="K119" s="69"/>
      <c r="L119" s="72"/>
      <c r="M119" s="71"/>
      <c r="N119" s="72"/>
      <c r="O119" s="71"/>
      <c r="P119" s="67"/>
      <c r="Q119" s="69"/>
      <c r="R119" s="95"/>
      <c r="S119" s="108"/>
      <c r="T119" s="68"/>
      <c r="U119" s="68"/>
      <c r="V119" s="69"/>
      <c r="W119" s="3"/>
      <c r="X119" s="50" t="s">
        <v>63</v>
      </c>
      <c r="Y119" s="76" t="s">
        <v>64</v>
      </c>
      <c r="Z119" s="77"/>
      <c r="AA119" s="90"/>
      <c r="AB119" s="88"/>
      <c r="AC119" s="88"/>
      <c r="AD119" s="50" t="s">
        <v>72</v>
      </c>
      <c r="AE119" s="76" t="s">
        <v>178</v>
      </c>
      <c r="AF119" s="77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ht="15.75" customHeight="1" outlineLevel="1">
      <c r="A120" s="3"/>
      <c r="B120" s="63">
        <v>3.0</v>
      </c>
      <c r="C120" s="3"/>
      <c r="D120" s="100" t="s">
        <v>172</v>
      </c>
      <c r="E120" s="3"/>
      <c r="F120" s="3"/>
      <c r="G120" s="25"/>
      <c r="H120" s="57"/>
      <c r="I120" s="56"/>
      <c r="J120" s="57"/>
      <c r="K120" s="65"/>
      <c r="L120" s="107">
        <v>45749.0</v>
      </c>
      <c r="M120" s="60" t="s">
        <v>179</v>
      </c>
      <c r="N120" s="61" t="s">
        <v>180</v>
      </c>
      <c r="O120" s="25"/>
      <c r="P120" s="107">
        <v>45690.0</v>
      </c>
      <c r="Q120" s="103" t="s">
        <v>179</v>
      </c>
      <c r="R120" s="86" t="s">
        <v>84</v>
      </c>
      <c r="S120" s="95"/>
      <c r="T120" s="3"/>
      <c r="U120" s="3"/>
      <c r="V120" s="25"/>
      <c r="W120" s="3"/>
      <c r="X120" s="80" t="s">
        <v>72</v>
      </c>
      <c r="Y120" s="81" t="s">
        <v>73</v>
      </c>
      <c r="Z120" s="82"/>
      <c r="AA120" s="92"/>
      <c r="AB120" s="93"/>
      <c r="AC120" s="93"/>
      <c r="AD120" s="90"/>
      <c r="AE120" s="88"/>
      <c r="AF120" s="77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ht="15.75" customHeight="1" outlineLevel="1">
      <c r="A121" s="3"/>
      <c r="B121" s="24"/>
      <c r="C121" s="3"/>
      <c r="D121" s="63" t="s">
        <v>181</v>
      </c>
      <c r="E121" s="3"/>
      <c r="F121" s="3"/>
      <c r="G121" s="25"/>
      <c r="H121" s="66"/>
      <c r="I121" s="65"/>
      <c r="J121" s="66"/>
      <c r="K121" s="65"/>
      <c r="L121" s="3"/>
      <c r="M121" s="25"/>
      <c r="N121" s="3"/>
      <c r="O121" s="25"/>
      <c r="P121" s="3"/>
      <c r="Q121" s="25"/>
      <c r="R121" s="85" t="s">
        <v>89</v>
      </c>
      <c r="S121" s="95"/>
      <c r="T121" s="3"/>
      <c r="U121" s="3"/>
      <c r="V121" s="25"/>
      <c r="W121" s="24"/>
      <c r="X121" s="38" t="s">
        <v>138</v>
      </c>
      <c r="Y121" s="39"/>
      <c r="Z121" s="40"/>
      <c r="AA121" s="38" t="s">
        <v>139</v>
      </c>
      <c r="AB121" s="39"/>
      <c r="AC121" s="40"/>
      <c r="AD121" s="90"/>
      <c r="AE121" s="88"/>
      <c r="AF121" s="77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ht="15.75" customHeight="1" outlineLevel="1">
      <c r="A122" s="3"/>
      <c r="B122" s="67"/>
      <c r="C122" s="68"/>
      <c r="D122" s="67"/>
      <c r="E122" s="68"/>
      <c r="F122" s="68"/>
      <c r="G122" s="69"/>
      <c r="H122" s="72"/>
      <c r="I122" s="71"/>
      <c r="J122" s="72"/>
      <c r="K122" s="71"/>
      <c r="L122" s="68"/>
      <c r="M122" s="69"/>
      <c r="N122" s="68"/>
      <c r="O122" s="69"/>
      <c r="P122" s="68"/>
      <c r="Q122" s="69"/>
      <c r="R122" s="95"/>
      <c r="S122" s="108"/>
      <c r="T122" s="68"/>
      <c r="U122" s="68"/>
      <c r="V122" s="69"/>
      <c r="W122" s="3"/>
      <c r="X122" s="50" t="s">
        <v>33</v>
      </c>
      <c r="Y122" s="51" t="s">
        <v>80</v>
      </c>
      <c r="Z122" s="52"/>
      <c r="AA122" s="50" t="s">
        <v>81</v>
      </c>
      <c r="AB122" s="76" t="s">
        <v>82</v>
      </c>
      <c r="AC122" s="77"/>
      <c r="AD122" s="90"/>
      <c r="AE122" s="88"/>
      <c r="AF122" s="77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ht="15.75" customHeight="1" outlineLevel="1">
      <c r="A123" s="3"/>
      <c r="B123" s="63">
        <v>4.0</v>
      </c>
      <c r="C123" s="3"/>
      <c r="D123" s="100" t="s">
        <v>172</v>
      </c>
      <c r="E123" s="3"/>
      <c r="F123" s="3"/>
      <c r="G123" s="25"/>
      <c r="H123" s="57"/>
      <c r="I123" s="56"/>
      <c r="J123" s="57"/>
      <c r="K123" s="65"/>
      <c r="L123" s="107">
        <v>45749.0</v>
      </c>
      <c r="M123" s="60" t="s">
        <v>182</v>
      </c>
      <c r="N123" s="61" t="s">
        <v>180</v>
      </c>
      <c r="O123" s="25"/>
      <c r="P123" s="107">
        <v>45690.0</v>
      </c>
      <c r="Q123" s="60" t="s">
        <v>182</v>
      </c>
      <c r="R123" s="109" t="s">
        <v>89</v>
      </c>
      <c r="S123" s="95"/>
      <c r="T123" s="3"/>
      <c r="U123" s="3"/>
      <c r="V123" s="25"/>
      <c r="W123" s="3"/>
      <c r="X123" s="50" t="s">
        <v>41</v>
      </c>
      <c r="Y123" s="87" t="s">
        <v>85</v>
      </c>
      <c r="Z123" s="52"/>
      <c r="AA123" s="50" t="s">
        <v>86</v>
      </c>
      <c r="AB123" s="76" t="s">
        <v>87</v>
      </c>
      <c r="AC123" s="77"/>
      <c r="AD123" s="90"/>
      <c r="AE123" s="88"/>
      <c r="AF123" s="77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ht="15.75" customHeight="1" outlineLevel="1">
      <c r="A124" s="3"/>
      <c r="B124" s="24"/>
      <c r="C124" s="3"/>
      <c r="D124" s="63" t="s">
        <v>183</v>
      </c>
      <c r="E124" s="3"/>
      <c r="F124" s="3"/>
      <c r="G124" s="25"/>
      <c r="H124" s="66"/>
      <c r="I124" s="65"/>
      <c r="J124" s="66"/>
      <c r="K124" s="65"/>
      <c r="L124" s="3"/>
      <c r="M124" s="25"/>
      <c r="N124" s="3"/>
      <c r="O124" s="25"/>
      <c r="P124" s="64"/>
      <c r="Q124" s="65"/>
      <c r="R124" s="110"/>
      <c r="S124" s="95"/>
      <c r="T124" s="3"/>
      <c r="U124" s="3"/>
      <c r="V124" s="25"/>
      <c r="W124" s="3"/>
      <c r="X124" s="50" t="s">
        <v>90</v>
      </c>
      <c r="Y124" s="51" t="s">
        <v>91</v>
      </c>
      <c r="Z124" s="52"/>
      <c r="AA124" s="50" t="s">
        <v>92</v>
      </c>
      <c r="AB124" s="88"/>
      <c r="AC124" s="77"/>
      <c r="AD124" s="90"/>
      <c r="AE124" s="88"/>
      <c r="AF124" s="77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ht="15.75" customHeight="1" outlineLevel="1">
      <c r="A125" s="3"/>
      <c r="B125" s="67"/>
      <c r="C125" s="68"/>
      <c r="D125" s="67"/>
      <c r="E125" s="68"/>
      <c r="F125" s="68"/>
      <c r="G125" s="69"/>
      <c r="H125" s="72"/>
      <c r="I125" s="71"/>
      <c r="J125" s="72"/>
      <c r="K125" s="71"/>
      <c r="L125" s="68"/>
      <c r="M125" s="69"/>
      <c r="N125" s="68"/>
      <c r="O125" s="69"/>
      <c r="P125" s="3"/>
      <c r="Q125" s="25"/>
      <c r="R125" s="95"/>
      <c r="S125" s="95"/>
      <c r="T125" s="3"/>
      <c r="U125" s="3"/>
      <c r="V125" s="25"/>
      <c r="W125" s="3"/>
      <c r="X125" s="50" t="s">
        <v>93</v>
      </c>
      <c r="Y125" s="89"/>
      <c r="Z125" s="52"/>
      <c r="AA125" s="50" t="s">
        <v>62</v>
      </c>
      <c r="AB125" s="88"/>
      <c r="AC125" s="77"/>
      <c r="AD125" s="90"/>
      <c r="AE125" s="88"/>
      <c r="AF125" s="77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ht="17.25" customHeight="1" outlineLevel="1">
      <c r="A126" s="3"/>
      <c r="B126" s="63">
        <v>5.0</v>
      </c>
      <c r="C126" s="3"/>
      <c r="D126" s="100" t="s">
        <v>172</v>
      </c>
      <c r="E126" s="3"/>
      <c r="F126" s="3"/>
      <c r="G126" s="25"/>
      <c r="H126" s="57"/>
      <c r="I126" s="56"/>
      <c r="J126" s="57"/>
      <c r="K126" s="65"/>
      <c r="L126" s="107">
        <v>45749.0</v>
      </c>
      <c r="M126" s="60" t="s">
        <v>184</v>
      </c>
      <c r="N126" s="61" t="s">
        <v>180</v>
      </c>
      <c r="O126" s="25"/>
      <c r="P126" s="107">
        <v>45690.0</v>
      </c>
      <c r="Q126" s="60" t="s">
        <v>184</v>
      </c>
      <c r="R126" s="109" t="s">
        <v>89</v>
      </c>
      <c r="S126" s="94"/>
      <c r="T126" s="28"/>
      <c r="U126" s="28"/>
      <c r="V126" s="54"/>
      <c r="W126" s="3"/>
      <c r="X126" s="50" t="s">
        <v>95</v>
      </c>
      <c r="Y126" s="88"/>
      <c r="Z126" s="77"/>
      <c r="AA126" s="90"/>
      <c r="AB126" s="88"/>
      <c r="AC126" s="77"/>
      <c r="AD126" s="90"/>
      <c r="AE126" s="88"/>
      <c r="AF126" s="77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ht="17.25" customHeight="1" outlineLevel="1">
      <c r="A127" s="3"/>
      <c r="B127" s="24"/>
      <c r="C127" s="3"/>
      <c r="D127" s="63" t="s">
        <v>185</v>
      </c>
      <c r="E127" s="3"/>
      <c r="F127" s="3"/>
      <c r="G127" s="25"/>
      <c r="H127" s="66"/>
      <c r="I127" s="65"/>
      <c r="J127" s="66"/>
      <c r="K127" s="65"/>
      <c r="L127" s="3"/>
      <c r="M127" s="25"/>
      <c r="N127" s="3"/>
      <c r="O127" s="25"/>
      <c r="P127" s="64"/>
      <c r="Q127" s="65"/>
      <c r="R127" s="110"/>
      <c r="S127" s="3"/>
      <c r="T127" s="3"/>
      <c r="U127" s="3"/>
      <c r="V127" s="25"/>
      <c r="W127" s="3"/>
      <c r="X127" s="50" t="s">
        <v>72</v>
      </c>
      <c r="Y127" s="76" t="s">
        <v>73</v>
      </c>
      <c r="Z127" s="88"/>
      <c r="AA127" s="90"/>
      <c r="AB127" s="88"/>
      <c r="AC127" s="77"/>
      <c r="AD127" s="88"/>
      <c r="AE127" s="88"/>
      <c r="AF127" s="77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ht="17.25" customHeight="1" outlineLevel="1">
      <c r="A128" s="3"/>
      <c r="B128" s="67"/>
      <c r="C128" s="68"/>
      <c r="D128" s="67"/>
      <c r="E128" s="68"/>
      <c r="F128" s="68"/>
      <c r="G128" s="69"/>
      <c r="H128" s="72"/>
      <c r="I128" s="71"/>
      <c r="J128" s="72"/>
      <c r="K128" s="71"/>
      <c r="L128" s="68"/>
      <c r="M128" s="69"/>
      <c r="N128" s="68"/>
      <c r="O128" s="69"/>
      <c r="P128" s="67"/>
      <c r="Q128" s="69"/>
      <c r="R128" s="68"/>
      <c r="S128" s="68"/>
      <c r="T128" s="68"/>
      <c r="U128" s="68"/>
      <c r="V128" s="69"/>
      <c r="W128" s="3"/>
      <c r="X128" s="90"/>
      <c r="Y128" s="88"/>
      <c r="Z128" s="88"/>
      <c r="AA128" s="90"/>
      <c r="AB128" s="88"/>
      <c r="AC128" s="77"/>
      <c r="AD128" s="90"/>
      <c r="AE128" s="88"/>
      <c r="AF128" s="77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ht="17.25" customHeight="1" outlineLevel="1">
      <c r="A129" s="3"/>
      <c r="B129" s="63">
        <v>6.0</v>
      </c>
      <c r="C129" s="3"/>
      <c r="D129" s="75" t="s">
        <v>186</v>
      </c>
      <c r="E129" s="3"/>
      <c r="F129" s="3"/>
      <c r="G129" s="25"/>
      <c r="H129" s="57"/>
      <c r="I129" s="56"/>
      <c r="J129" s="57"/>
      <c r="K129" s="65"/>
      <c r="L129" s="57"/>
      <c r="M129" s="56"/>
      <c r="N129" s="57"/>
      <c r="O129" s="65"/>
      <c r="P129" s="107">
        <v>45690.0</v>
      </c>
      <c r="Q129" s="60" t="s">
        <v>187</v>
      </c>
      <c r="R129" s="109" t="s">
        <v>188</v>
      </c>
      <c r="S129" s="94"/>
      <c r="T129" s="28"/>
      <c r="U129" s="28"/>
      <c r="V129" s="54"/>
      <c r="W129" s="3"/>
      <c r="X129" s="92"/>
      <c r="Y129" s="93"/>
      <c r="Z129" s="93"/>
      <c r="AA129" s="92"/>
      <c r="AB129" s="93"/>
      <c r="AC129" s="82"/>
      <c r="AD129" s="92"/>
      <c r="AE129" s="93"/>
      <c r="AF129" s="82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ht="17.25" customHeight="1" outlineLevel="1">
      <c r="A130" s="3"/>
      <c r="B130" s="24"/>
      <c r="C130" s="3"/>
      <c r="D130" s="63" t="s">
        <v>148</v>
      </c>
      <c r="E130" s="3"/>
      <c r="F130" s="3"/>
      <c r="G130" s="25"/>
      <c r="H130" s="66"/>
      <c r="I130" s="65"/>
      <c r="J130" s="66"/>
      <c r="K130" s="65"/>
      <c r="L130" s="66"/>
      <c r="M130" s="65"/>
      <c r="N130" s="66"/>
      <c r="O130" s="65"/>
      <c r="P130" s="64"/>
      <c r="Q130" s="65"/>
      <c r="R130" s="66"/>
      <c r="S130" s="3"/>
      <c r="T130" s="3"/>
      <c r="U130" s="3"/>
      <c r="V130" s="25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ht="17.25" customHeight="1" outlineLevel="1">
      <c r="A131" s="3"/>
      <c r="B131" s="67"/>
      <c r="C131" s="68"/>
      <c r="D131" s="67"/>
      <c r="E131" s="68"/>
      <c r="F131" s="68"/>
      <c r="G131" s="69"/>
      <c r="H131" s="72"/>
      <c r="I131" s="71"/>
      <c r="J131" s="72"/>
      <c r="K131" s="71"/>
      <c r="L131" s="72"/>
      <c r="M131" s="71"/>
      <c r="N131" s="72"/>
      <c r="O131" s="71"/>
      <c r="P131" s="67"/>
      <c r="Q131" s="69"/>
      <c r="R131" s="68"/>
      <c r="S131" s="68"/>
      <c r="T131" s="68"/>
      <c r="U131" s="68"/>
      <c r="V131" s="69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ht="15.75" customHeight="1">
      <c r="A132" s="3"/>
      <c r="B132" s="11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ht="15.75" customHeight="1">
      <c r="A133" s="4" t="s">
        <v>189</v>
      </c>
      <c r="B133" s="105" t="s">
        <v>190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ht="15.75" customHeight="1" outlineLevel="1">
      <c r="A134" s="3"/>
      <c r="B134" s="112" t="s">
        <v>3</v>
      </c>
      <c r="C134" s="113"/>
      <c r="D134" s="113"/>
      <c r="E134" s="113"/>
      <c r="F134" s="113"/>
      <c r="G134" s="113"/>
      <c r="H134" s="8" t="s">
        <v>4</v>
      </c>
      <c r="I134" s="113"/>
      <c r="J134" s="113"/>
      <c r="K134" s="113"/>
      <c r="L134" s="113"/>
      <c r="M134" s="11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ht="15.75" customHeight="1" outlineLevel="1">
      <c r="A135" s="3"/>
      <c r="B135" s="100" t="s">
        <v>5</v>
      </c>
      <c r="C135" s="10" t="s">
        <v>191</v>
      </c>
      <c r="D135" s="11"/>
      <c r="E135" s="11"/>
      <c r="F135" s="11"/>
      <c r="G135" s="11"/>
      <c r="H135" s="21" t="s">
        <v>22</v>
      </c>
      <c r="I135" s="11"/>
      <c r="J135" s="11"/>
      <c r="K135" s="11"/>
      <c r="L135" s="28"/>
      <c r="M135" s="12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ht="15.75" customHeight="1" outlineLevel="1">
      <c r="A136" s="3"/>
      <c r="B136" s="106"/>
      <c r="C136" s="15"/>
      <c r="D136" s="15"/>
      <c r="E136" s="15"/>
      <c r="F136" s="15"/>
      <c r="G136" s="15"/>
      <c r="H136" s="17"/>
      <c r="I136" s="15"/>
      <c r="J136" s="15"/>
      <c r="K136" s="15"/>
      <c r="L136" s="3"/>
      <c r="M136" s="16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ht="15.75" customHeight="1" outlineLevel="1">
      <c r="A137" s="3"/>
      <c r="B137" s="75" t="s">
        <v>9</v>
      </c>
      <c r="C137" s="19" t="s">
        <v>192</v>
      </c>
      <c r="D137" s="15"/>
      <c r="E137" s="15"/>
      <c r="F137" s="15"/>
      <c r="G137" s="16"/>
      <c r="H137" s="21" t="s">
        <v>22</v>
      </c>
      <c r="I137" s="15"/>
      <c r="J137" s="15"/>
      <c r="K137" s="15"/>
      <c r="L137" s="3"/>
      <c r="M137" s="16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ht="15.75" customHeight="1" outlineLevel="1">
      <c r="A138" s="3"/>
      <c r="B138" s="106"/>
      <c r="C138" s="4" t="s">
        <v>193</v>
      </c>
      <c r="D138" s="15"/>
      <c r="E138" s="15"/>
      <c r="F138" s="15"/>
      <c r="G138" s="16"/>
      <c r="H138" s="17"/>
      <c r="I138" s="15"/>
      <c r="J138" s="15"/>
      <c r="K138" s="15"/>
      <c r="L138" s="3"/>
      <c r="M138" s="16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ht="15.75" customHeight="1" outlineLevel="1">
      <c r="A139" s="3"/>
      <c r="B139" s="75" t="s">
        <v>9</v>
      </c>
      <c r="C139" s="19" t="s">
        <v>192</v>
      </c>
      <c r="D139" s="15"/>
      <c r="E139" s="15"/>
      <c r="F139" s="15"/>
      <c r="G139" s="15"/>
      <c r="H139" s="21" t="s">
        <v>22</v>
      </c>
      <c r="I139" s="15"/>
      <c r="J139" s="15"/>
      <c r="K139" s="15"/>
      <c r="L139" s="3"/>
      <c r="M139" s="16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ht="15.75" customHeight="1" outlineLevel="1">
      <c r="A140" s="3"/>
      <c r="B140" s="106"/>
      <c r="C140" s="4" t="s">
        <v>194</v>
      </c>
      <c r="D140" s="15"/>
      <c r="E140" s="15"/>
      <c r="F140" s="15"/>
      <c r="G140" s="15"/>
      <c r="H140" s="17"/>
      <c r="I140" s="15"/>
      <c r="J140" s="15"/>
      <c r="K140" s="15"/>
      <c r="L140" s="3"/>
      <c r="M140" s="16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ht="15.75" customHeight="1" outlineLevel="1">
      <c r="A141" s="3"/>
      <c r="B141" s="75" t="s">
        <v>11</v>
      </c>
      <c r="C141" s="19" t="s">
        <v>192</v>
      </c>
      <c r="D141" s="15"/>
      <c r="E141" s="15"/>
      <c r="F141" s="15"/>
      <c r="G141" s="15"/>
      <c r="H141" s="21" t="s">
        <v>22</v>
      </c>
      <c r="I141" s="15"/>
      <c r="J141" s="15"/>
      <c r="K141" s="15"/>
      <c r="L141" s="3"/>
      <c r="M141" s="16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ht="15.75" customHeight="1" outlineLevel="1">
      <c r="A142" s="3"/>
      <c r="B142" s="24"/>
      <c r="C142" s="4" t="s">
        <v>195</v>
      </c>
      <c r="D142" s="3"/>
      <c r="E142" s="3"/>
      <c r="F142" s="3"/>
      <c r="G142" s="3"/>
      <c r="H142" s="24"/>
      <c r="I142" s="3"/>
      <c r="J142" s="3"/>
      <c r="K142" s="3"/>
      <c r="L142" s="3"/>
      <c r="M142" s="25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ht="15.75" customHeight="1" outlineLevel="1">
      <c r="A143" s="3"/>
      <c r="B143" s="26">
        <v>4.0</v>
      </c>
      <c r="C143" s="19" t="s">
        <v>192</v>
      </c>
      <c r="D143" s="3"/>
      <c r="E143" s="3"/>
      <c r="F143" s="3"/>
      <c r="G143" s="3"/>
      <c r="H143" s="21" t="s">
        <v>22</v>
      </c>
      <c r="I143" s="3"/>
      <c r="J143" s="3"/>
      <c r="K143" s="3"/>
      <c r="L143" s="3"/>
      <c r="M143" s="25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ht="15.75" customHeight="1" outlineLevel="1">
      <c r="A144" s="3"/>
      <c r="B144" s="23"/>
      <c r="C144" s="4" t="s">
        <v>196</v>
      </c>
      <c r="D144" s="3"/>
      <c r="E144" s="3"/>
      <c r="F144" s="3"/>
      <c r="G144" s="3"/>
      <c r="H144" s="17"/>
      <c r="I144" s="3"/>
      <c r="J144" s="3"/>
      <c r="K144" s="3"/>
      <c r="L144" s="3"/>
      <c r="M144" s="25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ht="15.75" customHeight="1" outlineLevel="1">
      <c r="A145" s="3"/>
      <c r="B145" s="26">
        <v>5.0</v>
      </c>
      <c r="C145" s="19" t="s">
        <v>197</v>
      </c>
      <c r="D145" s="3"/>
      <c r="E145" s="3"/>
      <c r="F145" s="3"/>
      <c r="G145" s="3"/>
      <c r="H145" s="21" t="s">
        <v>22</v>
      </c>
      <c r="I145" s="3"/>
      <c r="J145" s="3"/>
      <c r="K145" s="3"/>
      <c r="L145" s="3"/>
      <c r="M145" s="25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ht="15.75" customHeight="1" outlineLevel="1">
      <c r="A146" s="3"/>
      <c r="B146" s="24"/>
      <c r="C146" s="15"/>
      <c r="D146" s="3"/>
      <c r="E146" s="3"/>
      <c r="F146" s="3"/>
      <c r="G146" s="3"/>
      <c r="H146" s="17"/>
      <c r="I146" s="3"/>
      <c r="J146" s="3"/>
      <c r="K146" s="3"/>
      <c r="L146" s="3"/>
      <c r="M146" s="25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ht="15.75" customHeight="1" outlineLevel="1">
      <c r="A147" s="3"/>
      <c r="B147" s="28"/>
      <c r="C147" s="28"/>
      <c r="D147" s="28"/>
      <c r="E147" s="28"/>
      <c r="F147" s="28"/>
      <c r="G147" s="28"/>
      <c r="H147" s="29"/>
      <c r="I147" s="28"/>
      <c r="J147" s="28"/>
      <c r="K147" s="28"/>
      <c r="L147" s="28"/>
      <c r="M147" s="28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ht="15.75" customHeight="1" outlineLevel="1">
      <c r="A148" s="3"/>
      <c r="B148" s="30" t="s">
        <v>23</v>
      </c>
      <c r="C148" s="31"/>
      <c r="D148" s="30" t="s">
        <v>24</v>
      </c>
      <c r="E148" s="32"/>
      <c r="F148" s="32"/>
      <c r="G148" s="32"/>
      <c r="H148" s="33" t="s">
        <v>25</v>
      </c>
      <c r="I148" s="34">
        <v>45748.0</v>
      </c>
      <c r="J148" s="35" t="s">
        <v>26</v>
      </c>
      <c r="K148" s="36"/>
      <c r="L148" s="33" t="s">
        <v>25</v>
      </c>
      <c r="M148" s="34">
        <v>45748.0</v>
      </c>
      <c r="N148" s="35" t="s">
        <v>27</v>
      </c>
      <c r="O148" s="36"/>
      <c r="P148" s="33" t="s">
        <v>25</v>
      </c>
      <c r="Q148" s="34">
        <v>45690.0</v>
      </c>
      <c r="R148" s="35" t="s">
        <v>28</v>
      </c>
      <c r="S148" s="36"/>
      <c r="T148" s="36"/>
      <c r="U148" s="36"/>
      <c r="V148" s="37"/>
      <c r="W148" s="3"/>
      <c r="X148" s="38" t="s">
        <v>198</v>
      </c>
      <c r="Y148" s="39"/>
      <c r="Z148" s="40"/>
      <c r="AA148" s="38" t="s">
        <v>139</v>
      </c>
      <c r="AB148" s="39"/>
      <c r="AC148" s="40"/>
      <c r="AD148" s="38" t="s">
        <v>199</v>
      </c>
      <c r="AE148" s="39"/>
      <c r="AF148" s="40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ht="15.75" customHeight="1" outlineLevel="1">
      <c r="A149" s="3"/>
      <c r="B149" s="41"/>
      <c r="C149" s="42"/>
      <c r="D149" s="43"/>
      <c r="E149" s="44"/>
      <c r="F149" s="45"/>
      <c r="G149" s="45"/>
      <c r="H149" s="46" t="s">
        <v>31</v>
      </c>
      <c r="I149" s="47"/>
      <c r="J149" s="48" t="s">
        <v>32</v>
      </c>
      <c r="K149" s="47"/>
      <c r="L149" s="46" t="s">
        <v>31</v>
      </c>
      <c r="M149" s="47"/>
      <c r="N149" s="48" t="s">
        <v>32</v>
      </c>
      <c r="O149" s="47"/>
      <c r="P149" s="46" t="s">
        <v>31</v>
      </c>
      <c r="Q149" s="47"/>
      <c r="R149" s="48" t="s">
        <v>32</v>
      </c>
      <c r="S149" s="47"/>
      <c r="T149" s="47"/>
      <c r="U149" s="47"/>
      <c r="V149" s="49"/>
      <c r="W149" s="3"/>
      <c r="X149" s="50" t="s">
        <v>33</v>
      </c>
      <c r="Y149" s="51" t="s">
        <v>34</v>
      </c>
      <c r="Z149" s="52"/>
      <c r="AA149" s="50" t="s">
        <v>81</v>
      </c>
      <c r="AB149" s="76" t="s">
        <v>82</v>
      </c>
      <c r="AC149" s="77"/>
      <c r="AD149" s="50" t="s">
        <v>33</v>
      </c>
      <c r="AE149" s="89"/>
      <c r="AF149" s="52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ht="15.75" customHeight="1" outlineLevel="1">
      <c r="A150" s="3"/>
      <c r="B150" s="63">
        <v>1.0</v>
      </c>
      <c r="C150" s="3"/>
      <c r="D150" s="10" t="s">
        <v>191</v>
      </c>
      <c r="E150" s="3"/>
      <c r="F150" s="3"/>
      <c r="G150" s="25"/>
      <c r="H150" s="57"/>
      <c r="I150" s="56"/>
      <c r="J150" s="57"/>
      <c r="K150" s="65"/>
      <c r="L150" s="57"/>
      <c r="M150" s="56"/>
      <c r="N150" s="57"/>
      <c r="O150" s="65"/>
      <c r="P150" s="107">
        <v>45690.0</v>
      </c>
      <c r="Q150" s="60" t="s">
        <v>200</v>
      </c>
      <c r="R150" s="109" t="s">
        <v>201</v>
      </c>
      <c r="S150" s="95"/>
      <c r="T150" s="3"/>
      <c r="U150" s="3"/>
      <c r="V150" s="25"/>
      <c r="W150" s="3"/>
      <c r="X150" s="50" t="s">
        <v>56</v>
      </c>
      <c r="Y150" s="76" t="s">
        <v>57</v>
      </c>
      <c r="Z150" s="77"/>
      <c r="AA150" s="50" t="s">
        <v>86</v>
      </c>
      <c r="AB150" s="76" t="s">
        <v>87</v>
      </c>
      <c r="AC150" s="77"/>
      <c r="AD150" s="50" t="s">
        <v>41</v>
      </c>
      <c r="AE150" s="88"/>
      <c r="AF150" s="77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ht="15.75" customHeight="1" outlineLevel="1">
      <c r="A151" s="3"/>
      <c r="B151" s="24"/>
      <c r="C151" s="3"/>
      <c r="D151" s="24"/>
      <c r="E151" s="3"/>
      <c r="F151" s="3"/>
      <c r="G151" s="25"/>
      <c r="H151" s="66"/>
      <c r="I151" s="65"/>
      <c r="J151" s="66"/>
      <c r="K151" s="65"/>
      <c r="L151" s="66"/>
      <c r="M151" s="65"/>
      <c r="N151" s="66"/>
      <c r="O151" s="65"/>
      <c r="P151" s="64"/>
      <c r="Q151" s="65"/>
      <c r="R151" s="110"/>
      <c r="S151" s="95"/>
      <c r="T151" s="3"/>
      <c r="U151" s="3"/>
      <c r="V151" s="25"/>
      <c r="W151" s="3"/>
      <c r="X151" s="50" t="s">
        <v>60</v>
      </c>
      <c r="Y151" s="76" t="s">
        <v>61</v>
      </c>
      <c r="Z151" s="77"/>
      <c r="AA151" s="50" t="s">
        <v>92</v>
      </c>
      <c r="AB151" s="88"/>
      <c r="AC151" s="77"/>
      <c r="AD151" s="50" t="s">
        <v>169</v>
      </c>
      <c r="AE151" s="88"/>
      <c r="AF151" s="77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ht="15.75" customHeight="1" outlineLevel="1">
      <c r="A152" s="3"/>
      <c r="B152" s="67"/>
      <c r="C152" s="68"/>
      <c r="D152" s="67"/>
      <c r="E152" s="68"/>
      <c r="F152" s="68"/>
      <c r="G152" s="69"/>
      <c r="H152" s="72"/>
      <c r="I152" s="71"/>
      <c r="J152" s="72"/>
      <c r="K152" s="71"/>
      <c r="L152" s="72"/>
      <c r="M152" s="71"/>
      <c r="N152" s="72"/>
      <c r="O152" s="71"/>
      <c r="P152" s="67"/>
      <c r="Q152" s="69"/>
      <c r="R152" s="108"/>
      <c r="S152" s="108"/>
      <c r="T152" s="68"/>
      <c r="U152" s="68"/>
      <c r="V152" s="69"/>
      <c r="W152" s="3"/>
      <c r="X152" s="50" t="s">
        <v>63</v>
      </c>
      <c r="Y152" s="76" t="s">
        <v>64</v>
      </c>
      <c r="Z152" s="77"/>
      <c r="AA152" s="50" t="s">
        <v>62</v>
      </c>
      <c r="AB152" s="88"/>
      <c r="AC152" s="77"/>
      <c r="AD152" s="50" t="s">
        <v>202</v>
      </c>
      <c r="AE152" s="88"/>
      <c r="AF152" s="77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ht="15.75" customHeight="1" outlineLevel="1">
      <c r="A153" s="3"/>
      <c r="B153" s="63">
        <v>2.0</v>
      </c>
      <c r="C153" s="3"/>
      <c r="D153" s="100" t="s">
        <v>203</v>
      </c>
      <c r="E153" s="3"/>
      <c r="F153" s="3"/>
      <c r="G153" s="25"/>
      <c r="H153" s="107">
        <v>45748.0</v>
      </c>
      <c r="I153" s="60" t="s">
        <v>204</v>
      </c>
      <c r="J153" s="61" t="s">
        <v>205</v>
      </c>
      <c r="K153" s="25"/>
      <c r="L153" s="57"/>
      <c r="M153" s="56"/>
      <c r="N153" s="57"/>
      <c r="O153" s="65"/>
      <c r="P153" s="107">
        <v>45690.0</v>
      </c>
      <c r="Q153" s="60" t="s">
        <v>204</v>
      </c>
      <c r="R153" s="109" t="s">
        <v>77</v>
      </c>
      <c r="S153" s="95"/>
      <c r="T153" s="3"/>
      <c r="U153" s="3"/>
      <c r="V153" s="25"/>
      <c r="W153" s="3"/>
      <c r="X153" s="50" t="s">
        <v>56</v>
      </c>
      <c r="Y153" s="76" t="s">
        <v>57</v>
      </c>
      <c r="Z153" s="77"/>
      <c r="AA153" s="50" t="s">
        <v>86</v>
      </c>
      <c r="AB153" s="76" t="s">
        <v>87</v>
      </c>
      <c r="AC153" s="77"/>
      <c r="AD153" s="50" t="s">
        <v>206</v>
      </c>
      <c r="AE153" s="88"/>
      <c r="AF153" s="77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ht="15.75" customHeight="1" outlineLevel="1">
      <c r="A154" s="3"/>
      <c r="B154" s="24"/>
      <c r="C154" s="3"/>
      <c r="D154" s="63" t="s">
        <v>207</v>
      </c>
      <c r="E154" s="3"/>
      <c r="F154" s="3"/>
      <c r="G154" s="25"/>
      <c r="H154" s="3"/>
      <c r="I154" s="25"/>
      <c r="J154" s="3"/>
      <c r="K154" s="25"/>
      <c r="L154" s="66"/>
      <c r="M154" s="65"/>
      <c r="N154" s="66"/>
      <c r="O154" s="65"/>
      <c r="P154" s="64"/>
      <c r="Q154" s="65"/>
      <c r="R154" s="110"/>
      <c r="S154" s="95"/>
      <c r="T154" s="3"/>
      <c r="U154" s="3"/>
      <c r="V154" s="25"/>
      <c r="W154" s="3"/>
      <c r="X154" s="50" t="s">
        <v>60</v>
      </c>
      <c r="Y154" s="76" t="s">
        <v>61</v>
      </c>
      <c r="Z154" s="77"/>
      <c r="AA154" s="50" t="s">
        <v>92</v>
      </c>
      <c r="AB154" s="88"/>
      <c r="AC154" s="77"/>
      <c r="AD154" s="50" t="s">
        <v>208</v>
      </c>
      <c r="AE154" s="101" t="s">
        <v>209</v>
      </c>
      <c r="AF154" s="77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ht="15.75" customHeight="1" outlineLevel="1">
      <c r="A155" s="3"/>
      <c r="B155" s="67"/>
      <c r="C155" s="68"/>
      <c r="D155" s="67"/>
      <c r="E155" s="68"/>
      <c r="F155" s="68"/>
      <c r="G155" s="69"/>
      <c r="H155" s="68"/>
      <c r="I155" s="69"/>
      <c r="J155" s="68"/>
      <c r="K155" s="69"/>
      <c r="L155" s="72"/>
      <c r="M155" s="71"/>
      <c r="N155" s="72"/>
      <c r="O155" s="71"/>
      <c r="P155" s="67"/>
      <c r="Q155" s="69"/>
      <c r="R155" s="108"/>
      <c r="S155" s="108"/>
      <c r="T155" s="68"/>
      <c r="U155" s="68"/>
      <c r="V155" s="69"/>
      <c r="W155" s="3"/>
      <c r="X155" s="50" t="s">
        <v>63</v>
      </c>
      <c r="Y155" s="76" t="s">
        <v>64</v>
      </c>
      <c r="Z155" s="77"/>
      <c r="AA155" s="50" t="s">
        <v>62</v>
      </c>
      <c r="AB155" s="88"/>
      <c r="AC155" s="77"/>
      <c r="AD155" s="50" t="s">
        <v>210</v>
      </c>
      <c r="AE155" s="88"/>
      <c r="AF155" s="77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ht="15.75" customHeight="1" outlineLevel="1">
      <c r="A156" s="3"/>
      <c r="B156" s="63">
        <v>3.0</v>
      </c>
      <c r="C156" s="3"/>
      <c r="D156" s="100" t="s">
        <v>203</v>
      </c>
      <c r="E156" s="3"/>
      <c r="F156" s="3"/>
      <c r="G156" s="25"/>
      <c r="H156" s="57"/>
      <c r="I156" s="56"/>
      <c r="J156" s="57"/>
      <c r="K156" s="65"/>
      <c r="L156" s="107">
        <v>45749.0</v>
      </c>
      <c r="M156" s="60" t="s">
        <v>211</v>
      </c>
      <c r="N156" s="61" t="s">
        <v>212</v>
      </c>
      <c r="O156" s="25"/>
      <c r="P156" s="107">
        <v>45690.0</v>
      </c>
      <c r="Q156" s="60" t="s">
        <v>211</v>
      </c>
      <c r="R156" s="86" t="s">
        <v>84</v>
      </c>
      <c r="S156" s="95"/>
      <c r="T156" s="3"/>
      <c r="U156" s="3"/>
      <c r="V156" s="25"/>
      <c r="W156" s="3"/>
      <c r="X156" s="80" t="s">
        <v>72</v>
      </c>
      <c r="Y156" s="81" t="s">
        <v>73</v>
      </c>
      <c r="Z156" s="82"/>
      <c r="AA156" s="92"/>
      <c r="AB156" s="93"/>
      <c r="AC156" s="93"/>
      <c r="AD156" s="50" t="s">
        <v>213</v>
      </c>
      <c r="AE156" s="88"/>
      <c r="AF156" s="77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ht="15.75" customHeight="1" outlineLevel="1">
      <c r="A157" s="3"/>
      <c r="B157" s="24"/>
      <c r="C157" s="3"/>
      <c r="D157" s="63" t="s">
        <v>214</v>
      </c>
      <c r="E157" s="3"/>
      <c r="F157" s="3"/>
      <c r="G157" s="25"/>
      <c r="H157" s="66"/>
      <c r="I157" s="65"/>
      <c r="J157" s="66"/>
      <c r="K157" s="65"/>
      <c r="L157" s="3"/>
      <c r="M157" s="25"/>
      <c r="N157" s="3"/>
      <c r="O157" s="25"/>
      <c r="P157" s="3"/>
      <c r="Q157" s="65"/>
      <c r="R157" s="114" t="s">
        <v>89</v>
      </c>
      <c r="S157" s="95"/>
      <c r="T157" s="3"/>
      <c r="U157" s="3"/>
      <c r="V157" s="25"/>
      <c r="W157" s="24"/>
      <c r="X157" s="38" t="s">
        <v>138</v>
      </c>
      <c r="Y157" s="39"/>
      <c r="Z157" s="40"/>
      <c r="AA157" s="38" t="s">
        <v>215</v>
      </c>
      <c r="AB157" s="39"/>
      <c r="AC157" s="40"/>
      <c r="AD157" s="50" t="s">
        <v>210</v>
      </c>
      <c r="AE157" s="88"/>
      <c r="AF157" s="77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ht="15.75" customHeight="1" outlineLevel="1">
      <c r="A158" s="3"/>
      <c r="B158" s="67"/>
      <c r="C158" s="68"/>
      <c r="D158" s="67"/>
      <c r="E158" s="68"/>
      <c r="F158" s="68"/>
      <c r="G158" s="69"/>
      <c r="H158" s="72"/>
      <c r="I158" s="71"/>
      <c r="J158" s="72"/>
      <c r="K158" s="71"/>
      <c r="L158" s="68"/>
      <c r="M158" s="69"/>
      <c r="N158" s="68"/>
      <c r="O158" s="69"/>
      <c r="P158" s="68"/>
      <c r="Q158" s="69"/>
      <c r="R158" s="95"/>
      <c r="S158" s="108"/>
      <c r="T158" s="68"/>
      <c r="U158" s="68"/>
      <c r="V158" s="69"/>
      <c r="W158" s="3"/>
      <c r="X158" s="50" t="s">
        <v>33</v>
      </c>
      <c r="Y158" s="51" t="s">
        <v>80</v>
      </c>
      <c r="Z158" s="52"/>
      <c r="AA158" s="50" t="s">
        <v>81</v>
      </c>
      <c r="AB158" s="101" t="s">
        <v>216</v>
      </c>
      <c r="AC158" s="77"/>
      <c r="AD158" s="50" t="s">
        <v>217</v>
      </c>
      <c r="AE158" s="76" t="s">
        <v>217</v>
      </c>
      <c r="AF158" s="77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ht="15.75" customHeight="1" outlineLevel="1">
      <c r="A159" s="3"/>
      <c r="B159" s="63">
        <v>4.0</v>
      </c>
      <c r="C159" s="3"/>
      <c r="D159" s="100" t="s">
        <v>203</v>
      </c>
      <c r="E159" s="3"/>
      <c r="F159" s="3"/>
      <c r="G159" s="25"/>
      <c r="H159" s="57"/>
      <c r="I159" s="56"/>
      <c r="J159" s="57"/>
      <c r="K159" s="65"/>
      <c r="L159" s="107">
        <v>45749.0</v>
      </c>
      <c r="M159" s="60" t="s">
        <v>218</v>
      </c>
      <c r="N159" s="61" t="s">
        <v>212</v>
      </c>
      <c r="O159" s="25"/>
      <c r="P159" s="107">
        <v>45690.0</v>
      </c>
      <c r="Q159" s="60" t="s">
        <v>218</v>
      </c>
      <c r="R159" s="114" t="s">
        <v>89</v>
      </c>
      <c r="S159" s="95"/>
      <c r="T159" s="3"/>
      <c r="U159" s="3"/>
      <c r="V159" s="25"/>
      <c r="W159" s="3"/>
      <c r="X159" s="50" t="s">
        <v>41</v>
      </c>
      <c r="Y159" s="87" t="s">
        <v>85</v>
      </c>
      <c r="Z159" s="52"/>
      <c r="AA159" s="50" t="s">
        <v>92</v>
      </c>
      <c r="AB159" s="76" t="s">
        <v>167</v>
      </c>
      <c r="AC159" s="77"/>
      <c r="AD159" s="50" t="s">
        <v>219</v>
      </c>
      <c r="AE159" s="76" t="s">
        <v>169</v>
      </c>
      <c r="AF159" s="77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ht="15.75" customHeight="1" outlineLevel="1">
      <c r="A160" s="3"/>
      <c r="B160" s="24"/>
      <c r="C160" s="3"/>
      <c r="D160" s="63" t="s">
        <v>220</v>
      </c>
      <c r="E160" s="3"/>
      <c r="F160" s="3"/>
      <c r="G160" s="25"/>
      <c r="H160" s="66"/>
      <c r="I160" s="65"/>
      <c r="J160" s="66"/>
      <c r="K160" s="65"/>
      <c r="L160" s="3"/>
      <c r="M160" s="25"/>
      <c r="N160" s="3"/>
      <c r="O160" s="25"/>
      <c r="P160" s="64"/>
      <c r="Q160" s="65"/>
      <c r="R160" s="110"/>
      <c r="S160" s="95"/>
      <c r="T160" s="3"/>
      <c r="U160" s="3"/>
      <c r="V160" s="25"/>
      <c r="W160" s="3"/>
      <c r="X160" s="50" t="s">
        <v>90</v>
      </c>
      <c r="Y160" s="51" t="s">
        <v>91</v>
      </c>
      <c r="Z160" s="52"/>
      <c r="AA160" s="50" t="s">
        <v>62</v>
      </c>
      <c r="AB160" s="76" t="s">
        <v>59</v>
      </c>
      <c r="AC160" s="77"/>
      <c r="AD160" s="50" t="s">
        <v>221</v>
      </c>
      <c r="AE160" s="76" t="s">
        <v>128</v>
      </c>
      <c r="AF160" s="77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ht="15.75" customHeight="1" outlineLevel="1">
      <c r="A161" s="3"/>
      <c r="B161" s="67"/>
      <c r="C161" s="68"/>
      <c r="D161" s="67"/>
      <c r="E161" s="68"/>
      <c r="F161" s="68"/>
      <c r="G161" s="69"/>
      <c r="H161" s="72"/>
      <c r="I161" s="71"/>
      <c r="J161" s="72"/>
      <c r="K161" s="71"/>
      <c r="L161" s="68"/>
      <c r="M161" s="69"/>
      <c r="N161" s="68"/>
      <c r="O161" s="69"/>
      <c r="P161" s="3"/>
      <c r="Q161" s="69"/>
      <c r="R161" s="95"/>
      <c r="S161" s="95"/>
      <c r="T161" s="3"/>
      <c r="U161" s="3"/>
      <c r="V161" s="25"/>
      <c r="W161" s="3"/>
      <c r="X161" s="50" t="s">
        <v>93</v>
      </c>
      <c r="Y161" s="89"/>
      <c r="Z161" s="52"/>
      <c r="AA161" s="90"/>
      <c r="AB161" s="88"/>
      <c r="AC161" s="77"/>
      <c r="AD161" s="50" t="s">
        <v>208</v>
      </c>
      <c r="AE161" s="101" t="s">
        <v>209</v>
      </c>
      <c r="AF161" s="77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ht="17.25" customHeight="1" outlineLevel="1">
      <c r="A162" s="3"/>
      <c r="B162" s="63">
        <v>5.0</v>
      </c>
      <c r="C162" s="3"/>
      <c r="D162" s="100" t="s">
        <v>203</v>
      </c>
      <c r="E162" s="3"/>
      <c r="F162" s="3"/>
      <c r="G162" s="25"/>
      <c r="H162" s="57"/>
      <c r="I162" s="56"/>
      <c r="J162" s="57"/>
      <c r="K162" s="65"/>
      <c r="L162" s="107">
        <v>45749.0</v>
      </c>
      <c r="M162" s="60" t="s">
        <v>222</v>
      </c>
      <c r="N162" s="61" t="s">
        <v>212</v>
      </c>
      <c r="O162" s="25"/>
      <c r="P162" s="107">
        <v>45690.0</v>
      </c>
      <c r="Q162" s="60" t="s">
        <v>222</v>
      </c>
      <c r="R162" s="114" t="s">
        <v>89</v>
      </c>
      <c r="S162" s="94"/>
      <c r="T162" s="28"/>
      <c r="U162" s="28"/>
      <c r="V162" s="54"/>
      <c r="W162" s="3"/>
      <c r="X162" s="50" t="s">
        <v>95</v>
      </c>
      <c r="Y162" s="88"/>
      <c r="Z162" s="77"/>
      <c r="AA162" s="90"/>
      <c r="AB162" s="88"/>
      <c r="AC162" s="77"/>
      <c r="AD162" s="50" t="s">
        <v>210</v>
      </c>
      <c r="AE162" s="76" t="s">
        <v>223</v>
      </c>
      <c r="AF162" s="77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ht="17.25" customHeight="1" outlineLevel="1">
      <c r="A163" s="3"/>
      <c r="B163" s="24"/>
      <c r="C163" s="3"/>
      <c r="D163" s="63" t="s">
        <v>224</v>
      </c>
      <c r="E163" s="3"/>
      <c r="F163" s="3"/>
      <c r="G163" s="25"/>
      <c r="H163" s="66"/>
      <c r="I163" s="65"/>
      <c r="J163" s="66"/>
      <c r="K163" s="65"/>
      <c r="L163" s="3"/>
      <c r="M163" s="25"/>
      <c r="N163" s="3"/>
      <c r="O163" s="25"/>
      <c r="P163" s="64"/>
      <c r="Q163" s="65"/>
      <c r="R163" s="110"/>
      <c r="S163" s="3"/>
      <c r="T163" s="3"/>
      <c r="U163" s="3"/>
      <c r="V163" s="25"/>
      <c r="W163" s="3"/>
      <c r="X163" s="50" t="s">
        <v>72</v>
      </c>
      <c r="Y163" s="76" t="s">
        <v>73</v>
      </c>
      <c r="Z163" s="88"/>
      <c r="AA163" s="90"/>
      <c r="AB163" s="88"/>
      <c r="AC163" s="77"/>
      <c r="AD163" s="50" t="s">
        <v>225</v>
      </c>
      <c r="AE163" s="76" t="s">
        <v>226</v>
      </c>
      <c r="AF163" s="77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ht="17.25" customHeight="1" outlineLevel="1">
      <c r="A164" s="3"/>
      <c r="B164" s="67"/>
      <c r="C164" s="68"/>
      <c r="D164" s="67"/>
      <c r="E164" s="68"/>
      <c r="F164" s="68"/>
      <c r="G164" s="69"/>
      <c r="H164" s="72"/>
      <c r="I164" s="71"/>
      <c r="J164" s="72"/>
      <c r="K164" s="71"/>
      <c r="L164" s="68"/>
      <c r="M164" s="69"/>
      <c r="N164" s="68"/>
      <c r="O164" s="69"/>
      <c r="P164" s="67"/>
      <c r="Q164" s="69"/>
      <c r="R164" s="108"/>
      <c r="S164" s="68"/>
      <c r="T164" s="68"/>
      <c r="U164" s="68"/>
      <c r="V164" s="69"/>
      <c r="W164" s="3"/>
      <c r="X164" s="90"/>
      <c r="Y164" s="88"/>
      <c r="Z164" s="88"/>
      <c r="AA164" s="90"/>
      <c r="AB164" s="88"/>
      <c r="AC164" s="77"/>
      <c r="AD164" s="90"/>
      <c r="AE164" s="88"/>
      <c r="AF164" s="77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ht="17.25" customHeight="1" outlineLevel="1">
      <c r="A165" s="3"/>
      <c r="B165" s="63">
        <v>6.0</v>
      </c>
      <c r="C165" s="3"/>
      <c r="D165" s="75" t="s">
        <v>227</v>
      </c>
      <c r="E165" s="3"/>
      <c r="F165" s="3"/>
      <c r="G165" s="25"/>
      <c r="H165" s="57"/>
      <c r="I165" s="56"/>
      <c r="J165" s="57"/>
      <c r="K165" s="65"/>
      <c r="L165" s="57"/>
      <c r="M165" s="56"/>
      <c r="N165" s="57"/>
      <c r="O165" s="65"/>
      <c r="P165" s="107">
        <v>45690.0</v>
      </c>
      <c r="Q165" s="60" t="s">
        <v>228</v>
      </c>
      <c r="R165" s="86" t="s">
        <v>229</v>
      </c>
      <c r="S165" s="94"/>
      <c r="T165" s="28"/>
      <c r="U165" s="28"/>
      <c r="V165" s="54"/>
      <c r="W165" s="3"/>
      <c r="X165" s="90"/>
      <c r="Y165" s="88"/>
      <c r="Z165" s="88"/>
      <c r="AA165" s="90"/>
      <c r="AB165" s="88"/>
      <c r="AC165" s="77"/>
      <c r="AD165" s="88"/>
      <c r="AE165" s="88"/>
      <c r="AF165" s="77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ht="17.25" customHeight="1" outlineLevel="1">
      <c r="A166" s="3"/>
      <c r="B166" s="24"/>
      <c r="C166" s="3"/>
      <c r="D166" s="63" t="s">
        <v>148</v>
      </c>
      <c r="E166" s="3"/>
      <c r="F166" s="3"/>
      <c r="G166" s="25"/>
      <c r="H166" s="66"/>
      <c r="I166" s="65"/>
      <c r="J166" s="66"/>
      <c r="K166" s="65"/>
      <c r="L166" s="66"/>
      <c r="M166" s="65"/>
      <c r="N166" s="66"/>
      <c r="O166" s="65"/>
      <c r="P166" s="64"/>
      <c r="Q166" s="65"/>
      <c r="R166" s="91"/>
      <c r="S166" s="3"/>
      <c r="T166" s="3"/>
      <c r="U166" s="3"/>
      <c r="V166" s="25"/>
      <c r="W166" s="3"/>
      <c r="X166" s="90"/>
      <c r="Y166" s="88"/>
      <c r="Z166" s="88"/>
      <c r="AA166" s="90"/>
      <c r="AB166" s="88"/>
      <c r="AC166" s="77"/>
      <c r="AD166" s="90"/>
      <c r="AE166" s="88"/>
      <c r="AF166" s="77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ht="17.25" customHeight="1" outlineLevel="1">
      <c r="A167" s="3"/>
      <c r="B167" s="67"/>
      <c r="C167" s="68"/>
      <c r="D167" s="67"/>
      <c r="E167" s="68"/>
      <c r="F167" s="68"/>
      <c r="G167" s="69"/>
      <c r="H167" s="72"/>
      <c r="I167" s="71"/>
      <c r="J167" s="72"/>
      <c r="K167" s="71"/>
      <c r="L167" s="72"/>
      <c r="M167" s="71"/>
      <c r="N167" s="72"/>
      <c r="O167" s="71"/>
      <c r="P167" s="67"/>
      <c r="Q167" s="69"/>
      <c r="R167" s="68"/>
      <c r="S167" s="68"/>
      <c r="T167" s="68"/>
      <c r="U167" s="68"/>
      <c r="V167" s="69"/>
      <c r="W167" s="3"/>
      <c r="X167" s="92"/>
      <c r="Y167" s="93"/>
      <c r="Z167" s="93"/>
      <c r="AA167" s="92"/>
      <c r="AB167" s="93"/>
      <c r="AC167" s="82"/>
      <c r="AD167" s="92"/>
      <c r="AE167" s="93"/>
      <c r="AF167" s="82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ht="15.75" customHeight="1">
      <c r="A168" s="3"/>
      <c r="B168" s="11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ht="15.75" customHeight="1">
      <c r="A169" s="4" t="s">
        <v>230</v>
      </c>
      <c r="B169" s="105" t="s">
        <v>231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ht="15.75" customHeight="1" outlineLevel="1">
      <c r="A170" s="3"/>
      <c r="B170" s="8" t="s">
        <v>3</v>
      </c>
      <c r="C170" s="7"/>
      <c r="D170" s="7"/>
      <c r="E170" s="7"/>
      <c r="F170" s="7"/>
      <c r="G170" s="7"/>
      <c r="H170" s="8" t="s">
        <v>4</v>
      </c>
      <c r="I170" s="7"/>
      <c r="J170" s="7"/>
      <c r="K170" s="7"/>
      <c r="L170" s="7"/>
      <c r="M170" s="7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ht="15.75" customHeight="1" outlineLevel="1">
      <c r="A171" s="3"/>
      <c r="B171" s="100" t="s">
        <v>5</v>
      </c>
      <c r="C171" s="115" t="s">
        <v>232</v>
      </c>
      <c r="D171" s="11"/>
      <c r="E171" s="11"/>
      <c r="F171" s="11"/>
      <c r="G171" s="12"/>
      <c r="H171" s="13" t="s">
        <v>22</v>
      </c>
      <c r="I171" s="11"/>
      <c r="J171" s="11"/>
      <c r="K171" s="11"/>
      <c r="L171" s="3"/>
      <c r="M171" s="12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ht="15.75" customHeight="1" outlineLevel="1">
      <c r="A172" s="3"/>
      <c r="B172" s="116"/>
      <c r="C172" s="4" t="s">
        <v>233</v>
      </c>
      <c r="D172" s="22"/>
      <c r="E172" s="15"/>
      <c r="F172" s="15"/>
      <c r="G172" s="16"/>
      <c r="H172" s="17"/>
      <c r="I172" s="15"/>
      <c r="J172" s="15"/>
      <c r="K172" s="15"/>
      <c r="L172" s="3"/>
      <c r="M172" s="16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ht="15.75" customHeight="1" outlineLevel="1">
      <c r="A173" s="3"/>
      <c r="B173" s="75" t="s">
        <v>9</v>
      </c>
      <c r="C173" s="117" t="s">
        <v>232</v>
      </c>
      <c r="D173" s="15"/>
      <c r="E173" s="15"/>
      <c r="F173" s="15"/>
      <c r="G173" s="15"/>
      <c r="H173" s="21" t="s">
        <v>22</v>
      </c>
      <c r="I173" s="15"/>
      <c r="J173" s="15"/>
      <c r="K173" s="15"/>
      <c r="L173" s="3"/>
      <c r="M173" s="16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ht="15.75" customHeight="1" outlineLevel="1">
      <c r="A174" s="3"/>
      <c r="B174" s="116"/>
      <c r="C174" s="4" t="s">
        <v>234</v>
      </c>
      <c r="D174" s="22"/>
      <c r="E174" s="15"/>
      <c r="F174" s="15"/>
      <c r="G174" s="15"/>
      <c r="H174" s="17"/>
      <c r="I174" s="15"/>
      <c r="J174" s="15"/>
      <c r="K174" s="15"/>
      <c r="L174" s="3"/>
      <c r="M174" s="16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ht="15.75" customHeight="1" outlineLevel="1">
      <c r="A175" s="3"/>
      <c r="B175" s="75" t="s">
        <v>11</v>
      </c>
      <c r="C175" s="117" t="s">
        <v>232</v>
      </c>
      <c r="D175" s="15"/>
      <c r="E175" s="15"/>
      <c r="F175" s="15"/>
      <c r="G175" s="15"/>
      <c r="H175" s="21" t="s">
        <v>22</v>
      </c>
      <c r="I175" s="15"/>
      <c r="J175" s="15"/>
      <c r="K175" s="15"/>
      <c r="L175" s="3"/>
      <c r="M175" s="16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ht="15.75" customHeight="1" outlineLevel="1">
      <c r="A176" s="3"/>
      <c r="B176" s="24"/>
      <c r="C176" s="4" t="s">
        <v>235</v>
      </c>
      <c r="D176" s="3"/>
      <c r="E176" s="3"/>
      <c r="F176" s="3"/>
      <c r="G176" s="3"/>
      <c r="H176" s="24"/>
      <c r="I176" s="3"/>
      <c r="J176" s="3"/>
      <c r="K176" s="3"/>
      <c r="L176" s="3"/>
      <c r="M176" s="25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ht="15.75" customHeight="1" outlineLevel="1">
      <c r="A177" s="3"/>
      <c r="B177" s="26">
        <v>4.0</v>
      </c>
      <c r="C177" s="118" t="s">
        <v>232</v>
      </c>
      <c r="D177" s="3"/>
      <c r="E177" s="3"/>
      <c r="F177" s="3"/>
      <c r="G177" s="3"/>
      <c r="H177" s="21" t="s">
        <v>22</v>
      </c>
      <c r="I177" s="3"/>
      <c r="J177" s="3"/>
      <c r="K177" s="3"/>
      <c r="L177" s="3"/>
      <c r="M177" s="25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ht="15.75" customHeight="1" outlineLevel="1">
      <c r="A178" s="3"/>
      <c r="B178" s="23"/>
      <c r="C178" s="4" t="s">
        <v>236</v>
      </c>
      <c r="D178" s="3"/>
      <c r="E178" s="3"/>
      <c r="F178" s="3"/>
      <c r="G178" s="3"/>
      <c r="H178" s="17"/>
      <c r="I178" s="3"/>
      <c r="J178" s="3"/>
      <c r="K178" s="3"/>
      <c r="L178" s="3"/>
      <c r="M178" s="25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ht="15.75" customHeight="1" outlineLevel="1">
      <c r="A179" s="3"/>
      <c r="B179" s="26">
        <v>5.0</v>
      </c>
      <c r="C179" s="19" t="s">
        <v>237</v>
      </c>
      <c r="D179" s="3"/>
      <c r="E179" s="3"/>
      <c r="F179" s="3"/>
      <c r="G179" s="3"/>
      <c r="H179" s="21" t="s">
        <v>22</v>
      </c>
      <c r="I179" s="3"/>
      <c r="J179" s="3"/>
      <c r="K179" s="3"/>
      <c r="L179" s="3"/>
      <c r="M179" s="25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ht="15.75" customHeight="1" outlineLevel="1">
      <c r="A180" s="3"/>
      <c r="B180" s="23"/>
      <c r="C180" s="15"/>
      <c r="D180" s="3"/>
      <c r="E180" s="3"/>
      <c r="F180" s="3"/>
      <c r="G180" s="3"/>
      <c r="H180" s="17"/>
      <c r="I180" s="3"/>
      <c r="J180" s="3"/>
      <c r="K180" s="3"/>
      <c r="L180" s="3"/>
      <c r="M180" s="25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ht="15.75" customHeight="1" outlineLevel="1">
      <c r="A181" s="3"/>
      <c r="B181" s="26">
        <v>6.0</v>
      </c>
      <c r="C181" s="19" t="s">
        <v>238</v>
      </c>
      <c r="D181" s="3"/>
      <c r="E181" s="3"/>
      <c r="F181" s="3"/>
      <c r="G181" s="3"/>
      <c r="H181" s="21" t="s">
        <v>22</v>
      </c>
      <c r="I181" s="3"/>
      <c r="J181" s="3"/>
      <c r="K181" s="3"/>
      <c r="L181" s="3"/>
      <c r="M181" s="25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ht="15.75" customHeight="1" outlineLevel="1">
      <c r="A182" s="3"/>
      <c r="B182" s="24"/>
      <c r="C182" s="15"/>
      <c r="D182" s="3"/>
      <c r="E182" s="3"/>
      <c r="F182" s="3"/>
      <c r="G182" s="3"/>
      <c r="H182" s="17"/>
      <c r="I182" s="3"/>
      <c r="J182" s="3"/>
      <c r="K182" s="3"/>
      <c r="L182" s="3"/>
      <c r="M182" s="25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ht="15.75" customHeight="1" outlineLevel="1">
      <c r="A183" s="3"/>
      <c r="B183" s="28"/>
      <c r="C183" s="28"/>
      <c r="D183" s="28"/>
      <c r="E183" s="28"/>
      <c r="F183" s="28"/>
      <c r="G183" s="28"/>
      <c r="H183" s="29"/>
      <c r="I183" s="28"/>
      <c r="J183" s="28"/>
      <c r="K183" s="28"/>
      <c r="L183" s="28"/>
      <c r="M183" s="28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ht="15.75" customHeight="1" outlineLevel="1">
      <c r="A184" s="3"/>
      <c r="B184" s="30" t="s">
        <v>23</v>
      </c>
      <c r="C184" s="31"/>
      <c r="D184" s="30" t="s">
        <v>24</v>
      </c>
      <c r="E184" s="32"/>
      <c r="F184" s="32"/>
      <c r="G184" s="32"/>
      <c r="H184" s="33" t="s">
        <v>25</v>
      </c>
      <c r="I184" s="34">
        <v>45748.0</v>
      </c>
      <c r="J184" s="35" t="s">
        <v>26</v>
      </c>
      <c r="K184" s="36"/>
      <c r="L184" s="33" t="s">
        <v>25</v>
      </c>
      <c r="M184" s="34">
        <v>45749.0</v>
      </c>
      <c r="N184" s="35" t="s">
        <v>27</v>
      </c>
      <c r="O184" s="36"/>
      <c r="P184" s="33" t="s">
        <v>25</v>
      </c>
      <c r="Q184" s="34">
        <v>45690.0</v>
      </c>
      <c r="R184" s="35" t="s">
        <v>159</v>
      </c>
      <c r="S184" s="36"/>
      <c r="T184" s="36"/>
      <c r="U184" s="36"/>
      <c r="V184" s="37"/>
      <c r="W184" s="3"/>
      <c r="X184" s="38" t="s">
        <v>118</v>
      </c>
      <c r="Y184" s="39"/>
      <c r="Z184" s="40"/>
      <c r="AA184" s="38" t="s">
        <v>139</v>
      </c>
      <c r="AB184" s="39"/>
      <c r="AC184" s="39"/>
      <c r="AD184" s="119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ht="15.75" customHeight="1" outlineLevel="1">
      <c r="A185" s="3"/>
      <c r="B185" s="41"/>
      <c r="C185" s="42"/>
      <c r="D185" s="43"/>
      <c r="E185" s="44"/>
      <c r="F185" s="45"/>
      <c r="G185" s="45"/>
      <c r="H185" s="46" t="s">
        <v>31</v>
      </c>
      <c r="I185" s="47"/>
      <c r="J185" s="48" t="s">
        <v>32</v>
      </c>
      <c r="K185" s="47"/>
      <c r="L185" s="46" t="s">
        <v>31</v>
      </c>
      <c r="M185" s="47"/>
      <c r="N185" s="48" t="s">
        <v>32</v>
      </c>
      <c r="O185" s="47"/>
      <c r="P185" s="46" t="s">
        <v>31</v>
      </c>
      <c r="Q185" s="47"/>
      <c r="R185" s="48" t="s">
        <v>32</v>
      </c>
      <c r="S185" s="47"/>
      <c r="T185" s="47"/>
      <c r="U185" s="47"/>
      <c r="V185" s="49"/>
      <c r="W185" s="3"/>
      <c r="X185" s="50" t="s">
        <v>33</v>
      </c>
      <c r="Y185" s="51" t="s">
        <v>34</v>
      </c>
      <c r="Z185" s="52"/>
      <c r="AA185" s="50" t="s">
        <v>81</v>
      </c>
      <c r="AB185" s="76" t="s">
        <v>82</v>
      </c>
      <c r="AC185" s="88"/>
      <c r="AD185" s="91"/>
      <c r="AE185" s="120"/>
      <c r="AF185" s="121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ht="15.75" customHeight="1" outlineLevel="1">
      <c r="A186" s="3"/>
      <c r="B186" s="63">
        <v>1.0</v>
      </c>
      <c r="C186" s="3"/>
      <c r="D186" s="100" t="s">
        <v>239</v>
      </c>
      <c r="E186" s="3"/>
      <c r="F186" s="3"/>
      <c r="G186" s="25"/>
      <c r="H186" s="107">
        <v>45748.0</v>
      </c>
      <c r="I186" s="60" t="s">
        <v>240</v>
      </c>
      <c r="J186" s="61" t="s">
        <v>241</v>
      </c>
      <c r="K186" s="25"/>
      <c r="L186" s="57"/>
      <c r="M186" s="56"/>
      <c r="N186" s="57"/>
      <c r="O186" s="65"/>
      <c r="P186" s="107">
        <v>45690.0</v>
      </c>
      <c r="Q186" s="60" t="s">
        <v>240</v>
      </c>
      <c r="R186" s="109" t="s">
        <v>77</v>
      </c>
      <c r="S186" s="95"/>
      <c r="T186" s="3"/>
      <c r="U186" s="3"/>
      <c r="V186" s="25"/>
      <c r="W186" s="3"/>
      <c r="X186" s="50" t="s">
        <v>56</v>
      </c>
      <c r="Y186" s="76" t="s">
        <v>57</v>
      </c>
      <c r="Z186" s="77"/>
      <c r="AA186" s="50" t="s">
        <v>86</v>
      </c>
      <c r="AB186" s="76" t="s">
        <v>87</v>
      </c>
      <c r="AC186" s="88"/>
      <c r="AD186" s="24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ht="15.75" customHeight="1" outlineLevel="1">
      <c r="A187" s="3"/>
      <c r="B187" s="24"/>
      <c r="C187" s="3"/>
      <c r="D187" s="63" t="s">
        <v>242</v>
      </c>
      <c r="E187" s="3"/>
      <c r="F187" s="3"/>
      <c r="G187" s="25"/>
      <c r="H187" s="3"/>
      <c r="I187" s="25"/>
      <c r="J187" s="3"/>
      <c r="K187" s="25"/>
      <c r="L187" s="66"/>
      <c r="M187" s="65"/>
      <c r="N187" s="66"/>
      <c r="O187" s="65"/>
      <c r="P187" s="64"/>
      <c r="Q187" s="65"/>
      <c r="R187" s="110"/>
      <c r="S187" s="95"/>
      <c r="T187" s="3"/>
      <c r="U187" s="3"/>
      <c r="V187" s="25"/>
      <c r="W187" s="3"/>
      <c r="X187" s="50" t="s">
        <v>60</v>
      </c>
      <c r="Y187" s="76" t="s">
        <v>61</v>
      </c>
      <c r="Z187" s="77"/>
      <c r="AA187" s="50" t="s">
        <v>92</v>
      </c>
      <c r="AB187" s="88"/>
      <c r="AC187" s="88"/>
      <c r="AD187" s="24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ht="15.75" customHeight="1" outlineLevel="1">
      <c r="A188" s="3"/>
      <c r="B188" s="67"/>
      <c r="C188" s="68"/>
      <c r="D188" s="67"/>
      <c r="E188" s="68"/>
      <c r="F188" s="68"/>
      <c r="G188" s="69"/>
      <c r="H188" s="68"/>
      <c r="I188" s="69"/>
      <c r="J188" s="68"/>
      <c r="K188" s="69"/>
      <c r="L188" s="72"/>
      <c r="M188" s="71"/>
      <c r="N188" s="72"/>
      <c r="O188" s="71"/>
      <c r="P188" s="67"/>
      <c r="Q188" s="69"/>
      <c r="R188" s="108"/>
      <c r="S188" s="108"/>
      <c r="T188" s="68"/>
      <c r="U188" s="68"/>
      <c r="V188" s="69"/>
      <c r="W188" s="3"/>
      <c r="X188" s="50" t="s">
        <v>63</v>
      </c>
      <c r="Y188" s="76" t="s">
        <v>64</v>
      </c>
      <c r="Z188" s="77"/>
      <c r="AA188" s="50" t="s">
        <v>62</v>
      </c>
      <c r="AB188" s="88"/>
      <c r="AC188" s="88"/>
      <c r="AD188" s="24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ht="15.75" customHeight="1" outlineLevel="1">
      <c r="A189" s="3"/>
      <c r="B189" s="63">
        <v>2.0</v>
      </c>
      <c r="C189" s="3"/>
      <c r="D189" s="100" t="s">
        <v>239</v>
      </c>
      <c r="E189" s="3"/>
      <c r="F189" s="3"/>
      <c r="G189" s="25"/>
      <c r="H189" s="57"/>
      <c r="I189" s="56"/>
      <c r="J189" s="57"/>
      <c r="K189" s="65"/>
      <c r="L189" s="107">
        <v>45749.0</v>
      </c>
      <c r="M189" s="60" t="s">
        <v>243</v>
      </c>
      <c r="N189" s="61" t="s">
        <v>244</v>
      </c>
      <c r="O189" s="25"/>
      <c r="P189" s="107">
        <v>45690.0</v>
      </c>
      <c r="Q189" s="60" t="s">
        <v>243</v>
      </c>
      <c r="R189" s="109" t="s">
        <v>84</v>
      </c>
      <c r="S189" s="95"/>
      <c r="T189" s="3"/>
      <c r="U189" s="3"/>
      <c r="V189" s="25"/>
      <c r="W189" s="3"/>
      <c r="X189" s="80" t="s">
        <v>72</v>
      </c>
      <c r="Y189" s="81" t="s">
        <v>73</v>
      </c>
      <c r="Z189" s="82"/>
      <c r="AA189" s="92"/>
      <c r="AB189" s="93"/>
      <c r="AC189" s="93"/>
      <c r="AD189" s="24"/>
      <c r="AE189" s="105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ht="15.75" customHeight="1" outlineLevel="1">
      <c r="A190" s="3"/>
      <c r="B190" s="24"/>
      <c r="C190" s="3"/>
      <c r="D190" s="63" t="s">
        <v>245</v>
      </c>
      <c r="E190" s="3"/>
      <c r="F190" s="3"/>
      <c r="G190" s="25"/>
      <c r="H190" s="66"/>
      <c r="I190" s="65"/>
      <c r="J190" s="66"/>
      <c r="K190" s="65"/>
      <c r="L190" s="3"/>
      <c r="M190" s="25"/>
      <c r="N190" s="3"/>
      <c r="O190" s="25"/>
      <c r="P190" s="3"/>
      <c r="Q190" s="25"/>
      <c r="R190" s="109" t="s">
        <v>89</v>
      </c>
      <c r="S190" s="95"/>
      <c r="T190" s="3"/>
      <c r="U190" s="3"/>
      <c r="V190" s="25"/>
      <c r="W190" s="24"/>
      <c r="X190" s="38" t="s">
        <v>138</v>
      </c>
      <c r="Y190" s="39"/>
      <c r="Z190" s="40"/>
      <c r="AA190" s="38" t="s">
        <v>199</v>
      </c>
      <c r="AB190" s="39"/>
      <c r="AC190" s="39"/>
      <c r="AD190" s="24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ht="15.75" customHeight="1" outlineLevel="1">
      <c r="A191" s="3"/>
      <c r="B191" s="67"/>
      <c r="C191" s="68"/>
      <c r="D191" s="67"/>
      <c r="E191" s="68"/>
      <c r="F191" s="68"/>
      <c r="G191" s="69"/>
      <c r="H191" s="72"/>
      <c r="I191" s="71"/>
      <c r="J191" s="72"/>
      <c r="K191" s="71"/>
      <c r="L191" s="68"/>
      <c r="M191" s="69"/>
      <c r="N191" s="68"/>
      <c r="O191" s="69"/>
      <c r="P191" s="68"/>
      <c r="Q191" s="69"/>
      <c r="R191" s="95"/>
      <c r="S191" s="108"/>
      <c r="T191" s="68"/>
      <c r="U191" s="68"/>
      <c r="V191" s="69"/>
      <c r="W191" s="3"/>
      <c r="X191" s="50" t="s">
        <v>33</v>
      </c>
      <c r="Y191" s="51" t="s">
        <v>80</v>
      </c>
      <c r="Z191" s="89"/>
      <c r="AA191" s="122" t="s">
        <v>33</v>
      </c>
      <c r="AB191" s="123"/>
      <c r="AC191" s="123"/>
      <c r="AD191" s="17"/>
      <c r="AE191" s="105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ht="15.75" customHeight="1" outlineLevel="1">
      <c r="A192" s="3"/>
      <c r="B192" s="63">
        <v>3.0</v>
      </c>
      <c r="C192" s="3"/>
      <c r="D192" s="100" t="s">
        <v>239</v>
      </c>
      <c r="E192" s="3"/>
      <c r="F192" s="3"/>
      <c r="G192" s="25"/>
      <c r="H192" s="57"/>
      <c r="I192" s="56"/>
      <c r="J192" s="57"/>
      <c r="K192" s="65"/>
      <c r="L192" s="107">
        <v>45749.0</v>
      </c>
      <c r="M192" s="60" t="s">
        <v>246</v>
      </c>
      <c r="N192" s="61" t="s">
        <v>244</v>
      </c>
      <c r="O192" s="25"/>
      <c r="P192" s="107">
        <v>45690.0</v>
      </c>
      <c r="Q192" s="60" t="s">
        <v>246</v>
      </c>
      <c r="R192" s="109" t="s">
        <v>89</v>
      </c>
      <c r="S192" s="95"/>
      <c r="T192" s="3"/>
      <c r="U192" s="3"/>
      <c r="V192" s="25"/>
      <c r="W192" s="3"/>
      <c r="X192" s="50" t="s">
        <v>41</v>
      </c>
      <c r="Y192" s="51" t="s">
        <v>247</v>
      </c>
      <c r="Z192" s="89"/>
      <c r="AA192" s="122" t="s">
        <v>41</v>
      </c>
      <c r="AB192" s="123"/>
      <c r="AC192" s="123"/>
      <c r="AD192" s="17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ht="15.75" customHeight="1" outlineLevel="1">
      <c r="A193" s="3"/>
      <c r="B193" s="24"/>
      <c r="C193" s="3"/>
      <c r="D193" s="63" t="s">
        <v>248</v>
      </c>
      <c r="E193" s="3"/>
      <c r="F193" s="3"/>
      <c r="G193" s="25"/>
      <c r="H193" s="66"/>
      <c r="I193" s="65"/>
      <c r="J193" s="66"/>
      <c r="K193" s="65"/>
      <c r="L193" s="3"/>
      <c r="M193" s="25"/>
      <c r="N193" s="3"/>
      <c r="O193" s="25"/>
      <c r="P193" s="64"/>
      <c r="Q193" s="25"/>
      <c r="R193" s="110"/>
      <c r="S193" s="95"/>
      <c r="T193" s="3"/>
      <c r="U193" s="3"/>
      <c r="V193" s="25"/>
      <c r="W193" s="3"/>
      <c r="X193" s="50" t="s">
        <v>90</v>
      </c>
      <c r="Y193" s="51" t="s">
        <v>91</v>
      </c>
      <c r="Z193" s="89"/>
      <c r="AA193" s="122" t="s">
        <v>206</v>
      </c>
      <c r="AB193" s="123"/>
      <c r="AC193" s="123"/>
      <c r="AD193" s="17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ht="15.75" customHeight="1" outlineLevel="1">
      <c r="A194" s="3"/>
      <c r="B194" s="67"/>
      <c r="C194" s="68"/>
      <c r="D194" s="67"/>
      <c r="E194" s="68"/>
      <c r="F194" s="68"/>
      <c r="G194" s="69"/>
      <c r="H194" s="72"/>
      <c r="I194" s="71"/>
      <c r="J194" s="72"/>
      <c r="K194" s="71"/>
      <c r="L194" s="68"/>
      <c r="M194" s="69"/>
      <c r="N194" s="68"/>
      <c r="O194" s="69"/>
      <c r="P194" s="3"/>
      <c r="Q194" s="69"/>
      <c r="R194" s="95"/>
      <c r="S194" s="95"/>
      <c r="T194" s="3"/>
      <c r="U194" s="3"/>
      <c r="V194" s="25"/>
      <c r="W194" s="3"/>
      <c r="X194" s="50" t="s">
        <v>93</v>
      </c>
      <c r="Y194" s="89"/>
      <c r="Z194" s="89"/>
      <c r="AA194" s="124"/>
      <c r="AB194" s="125" t="s">
        <v>223</v>
      </c>
      <c r="AC194" s="126"/>
      <c r="AD194" s="106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ht="17.25" customHeight="1" outlineLevel="1">
      <c r="A195" s="3"/>
      <c r="B195" s="63">
        <v>4.0</v>
      </c>
      <c r="C195" s="3"/>
      <c r="D195" s="100" t="s">
        <v>239</v>
      </c>
      <c r="E195" s="3"/>
      <c r="F195" s="3"/>
      <c r="G195" s="25"/>
      <c r="H195" s="57"/>
      <c r="I195" s="56"/>
      <c r="J195" s="57"/>
      <c r="K195" s="65"/>
      <c r="L195" s="107">
        <v>45749.0</v>
      </c>
      <c r="M195" s="60" t="s">
        <v>249</v>
      </c>
      <c r="N195" s="61" t="s">
        <v>244</v>
      </c>
      <c r="O195" s="25"/>
      <c r="P195" s="107">
        <v>45690.0</v>
      </c>
      <c r="Q195" s="60" t="s">
        <v>249</v>
      </c>
      <c r="R195" s="109" t="s">
        <v>89</v>
      </c>
      <c r="S195" s="94"/>
      <c r="T195" s="28"/>
      <c r="U195" s="28"/>
      <c r="V195" s="54"/>
      <c r="W195" s="3"/>
      <c r="X195" s="50" t="s">
        <v>95</v>
      </c>
      <c r="Y195" s="88"/>
      <c r="Z195" s="88"/>
      <c r="AA195" s="122" t="s">
        <v>213</v>
      </c>
      <c r="AB195" s="123"/>
      <c r="AC195" s="123"/>
      <c r="AD195" s="17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ht="17.25" customHeight="1" outlineLevel="1">
      <c r="A196" s="3"/>
      <c r="B196" s="24"/>
      <c r="C196" s="3"/>
      <c r="D196" s="63" t="s">
        <v>250</v>
      </c>
      <c r="E196" s="3"/>
      <c r="F196" s="3"/>
      <c r="G196" s="25"/>
      <c r="H196" s="66"/>
      <c r="I196" s="65"/>
      <c r="J196" s="66"/>
      <c r="K196" s="65"/>
      <c r="L196" s="3"/>
      <c r="M196" s="25"/>
      <c r="N196" s="3"/>
      <c r="O196" s="25"/>
      <c r="P196" s="64"/>
      <c r="Q196" s="25"/>
      <c r="R196" s="110"/>
      <c r="S196" s="3"/>
      <c r="T196" s="3"/>
      <c r="U196" s="3"/>
      <c r="V196" s="25"/>
      <c r="W196" s="3"/>
      <c r="X196" s="50" t="s">
        <v>72</v>
      </c>
      <c r="Y196" s="76" t="s">
        <v>73</v>
      </c>
      <c r="Z196" s="88"/>
      <c r="AA196" s="124"/>
      <c r="AB196" s="125" t="s">
        <v>223</v>
      </c>
      <c r="AC196" s="123"/>
      <c r="AD196" s="17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ht="17.25" customHeight="1" outlineLevel="1">
      <c r="A197" s="3"/>
      <c r="B197" s="67"/>
      <c r="C197" s="68"/>
      <c r="D197" s="67"/>
      <c r="E197" s="68"/>
      <c r="F197" s="68"/>
      <c r="G197" s="69"/>
      <c r="H197" s="72"/>
      <c r="I197" s="71"/>
      <c r="J197" s="72"/>
      <c r="K197" s="71"/>
      <c r="L197" s="68"/>
      <c r="M197" s="69"/>
      <c r="N197" s="68"/>
      <c r="O197" s="69"/>
      <c r="P197" s="67"/>
      <c r="Q197" s="69"/>
      <c r="R197" s="108"/>
      <c r="S197" s="68"/>
      <c r="T197" s="68"/>
      <c r="U197" s="68"/>
      <c r="V197" s="69"/>
      <c r="W197" s="3"/>
      <c r="X197" s="90"/>
      <c r="Y197" s="88"/>
      <c r="Z197" s="88"/>
      <c r="AA197" s="122" t="s">
        <v>217</v>
      </c>
      <c r="AB197" s="123"/>
      <c r="AC197" s="123"/>
      <c r="AD197" s="17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ht="17.25" customHeight="1" outlineLevel="1">
      <c r="A198" s="3"/>
      <c r="B198" s="127">
        <v>5.0</v>
      </c>
      <c r="C198" s="3"/>
      <c r="D198" s="75" t="s">
        <v>237</v>
      </c>
      <c r="E198" s="3"/>
      <c r="F198" s="3"/>
      <c r="G198" s="25"/>
      <c r="H198" s="57"/>
      <c r="I198" s="56"/>
      <c r="J198" s="57"/>
      <c r="K198" s="65"/>
      <c r="L198" s="57"/>
      <c r="M198" s="56"/>
      <c r="N198" s="57"/>
      <c r="O198" s="65"/>
      <c r="P198" s="107">
        <v>45690.0</v>
      </c>
      <c r="Q198" s="60" t="s">
        <v>251</v>
      </c>
      <c r="R198" s="109" t="s">
        <v>252</v>
      </c>
      <c r="S198" s="28"/>
      <c r="T198" s="28"/>
      <c r="U198" s="28"/>
      <c r="V198" s="54"/>
      <c r="W198" s="3"/>
      <c r="X198" s="90"/>
      <c r="Y198" s="88"/>
      <c r="Z198" s="88"/>
      <c r="AA198" s="124"/>
      <c r="AB198" s="125" t="s">
        <v>169</v>
      </c>
      <c r="AC198" s="123"/>
      <c r="AD198" s="17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ht="17.25" customHeight="1" outlineLevel="1">
      <c r="A199" s="3"/>
      <c r="B199" s="24"/>
      <c r="C199" s="3"/>
      <c r="D199" s="17"/>
      <c r="E199" s="3"/>
      <c r="F199" s="3"/>
      <c r="G199" s="25"/>
      <c r="H199" s="66"/>
      <c r="I199" s="65"/>
      <c r="J199" s="66"/>
      <c r="K199" s="65"/>
      <c r="L199" s="66"/>
      <c r="M199" s="65"/>
      <c r="N199" s="66"/>
      <c r="O199" s="65"/>
      <c r="P199" s="64"/>
      <c r="Q199" s="25"/>
      <c r="R199" s="24"/>
      <c r="S199" s="3"/>
      <c r="T199" s="3"/>
      <c r="U199" s="3"/>
      <c r="V199" s="25"/>
      <c r="W199" s="3"/>
      <c r="X199" s="90"/>
      <c r="Y199" s="88"/>
      <c r="Z199" s="88"/>
      <c r="AA199" s="124"/>
      <c r="AB199" s="125" t="s">
        <v>253</v>
      </c>
      <c r="AC199" s="123"/>
      <c r="AD199" s="17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ht="17.25" customHeight="1" outlineLevel="1">
      <c r="A200" s="3"/>
      <c r="B200" s="67"/>
      <c r="C200" s="68"/>
      <c r="D200" s="128"/>
      <c r="E200" s="68"/>
      <c r="F200" s="68"/>
      <c r="G200" s="69"/>
      <c r="H200" s="72"/>
      <c r="I200" s="71"/>
      <c r="J200" s="72"/>
      <c r="K200" s="71"/>
      <c r="L200" s="72"/>
      <c r="M200" s="71"/>
      <c r="N200" s="72"/>
      <c r="O200" s="71"/>
      <c r="P200" s="67"/>
      <c r="Q200" s="69"/>
      <c r="R200" s="68"/>
      <c r="S200" s="68"/>
      <c r="T200" s="68"/>
      <c r="U200" s="68"/>
      <c r="V200" s="69"/>
      <c r="W200" s="3"/>
      <c r="X200" s="90"/>
      <c r="Y200" s="88"/>
      <c r="Z200" s="88"/>
      <c r="AA200" s="124"/>
      <c r="AB200" s="125" t="s">
        <v>254</v>
      </c>
      <c r="AC200" s="123"/>
      <c r="AD200" s="17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ht="32.25" customHeight="1" outlineLevel="1">
      <c r="A201" s="3"/>
      <c r="B201" s="63">
        <v>6.0</v>
      </c>
      <c r="C201" s="3"/>
      <c r="D201" s="19" t="s">
        <v>238</v>
      </c>
      <c r="E201" s="3"/>
      <c r="F201" s="3"/>
      <c r="G201" s="25"/>
      <c r="H201" s="57"/>
      <c r="I201" s="56"/>
      <c r="J201" s="57"/>
      <c r="K201" s="65"/>
      <c r="L201" s="57"/>
      <c r="M201" s="56"/>
      <c r="N201" s="57"/>
      <c r="O201" s="65"/>
      <c r="P201" s="107">
        <v>45690.0</v>
      </c>
      <c r="Q201" s="60" t="s">
        <v>255</v>
      </c>
      <c r="R201" s="109" t="s">
        <v>256</v>
      </c>
      <c r="S201" s="94"/>
      <c r="T201" s="28"/>
      <c r="U201" s="28"/>
      <c r="V201" s="54"/>
      <c r="W201" s="3"/>
      <c r="X201" s="90"/>
      <c r="Y201" s="88"/>
      <c r="Z201" s="88"/>
      <c r="AA201" s="124"/>
      <c r="AB201" s="125" t="s">
        <v>169</v>
      </c>
      <c r="AC201" s="123"/>
      <c r="AD201" s="17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ht="17.25" customHeight="1" outlineLevel="1">
      <c r="A202" s="3"/>
      <c r="B202" s="24"/>
      <c r="C202" s="3"/>
      <c r="D202" s="24"/>
      <c r="E202" s="3"/>
      <c r="F202" s="3"/>
      <c r="G202" s="25"/>
      <c r="H202" s="66"/>
      <c r="I202" s="65"/>
      <c r="J202" s="66"/>
      <c r="K202" s="65"/>
      <c r="L202" s="66"/>
      <c r="M202" s="65"/>
      <c r="N202" s="66"/>
      <c r="O202" s="65"/>
      <c r="P202" s="64"/>
      <c r="Q202" s="25"/>
      <c r="R202" s="91"/>
      <c r="S202" s="3"/>
      <c r="T202" s="3"/>
      <c r="U202" s="3"/>
      <c r="V202" s="25"/>
      <c r="W202" s="3"/>
      <c r="X202" s="90"/>
      <c r="Y202" s="88"/>
      <c r="Z202" s="88"/>
      <c r="AA202" s="124"/>
      <c r="AB202" s="125" t="s">
        <v>253</v>
      </c>
      <c r="AC202" s="123"/>
      <c r="AD202" s="17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ht="17.25" customHeight="1" outlineLevel="1">
      <c r="A203" s="3"/>
      <c r="B203" s="67"/>
      <c r="C203" s="68"/>
      <c r="D203" s="67"/>
      <c r="E203" s="68"/>
      <c r="F203" s="68"/>
      <c r="G203" s="69"/>
      <c r="H203" s="72"/>
      <c r="I203" s="71"/>
      <c r="J203" s="72"/>
      <c r="K203" s="71"/>
      <c r="L203" s="72"/>
      <c r="M203" s="71"/>
      <c r="N203" s="72"/>
      <c r="O203" s="71"/>
      <c r="P203" s="67"/>
      <c r="Q203" s="69"/>
      <c r="R203" s="68"/>
      <c r="S203" s="68"/>
      <c r="T203" s="68"/>
      <c r="U203" s="68"/>
      <c r="V203" s="69"/>
      <c r="W203" s="3"/>
      <c r="X203" s="90"/>
      <c r="Y203" s="88"/>
      <c r="Z203" s="88"/>
      <c r="AA203" s="124"/>
      <c r="AB203" s="125" t="s">
        <v>254</v>
      </c>
      <c r="AC203" s="123"/>
      <c r="AD203" s="17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ht="17.25" customHeight="1" outlineLevel="1">
      <c r="A204" s="3"/>
      <c r="B204" s="3"/>
      <c r="C204" s="3"/>
      <c r="D204" s="3"/>
      <c r="E204" s="3"/>
      <c r="F204" s="3"/>
      <c r="G204" s="3"/>
      <c r="H204" s="66"/>
      <c r="I204" s="66"/>
      <c r="J204" s="66"/>
      <c r="K204" s="66"/>
      <c r="L204" s="66"/>
      <c r="M204" s="66"/>
      <c r="N204" s="66"/>
      <c r="O204" s="66"/>
      <c r="P204" s="3"/>
      <c r="Q204" s="3"/>
      <c r="R204" s="3"/>
      <c r="S204" s="3"/>
      <c r="T204" s="3"/>
      <c r="U204" s="3"/>
      <c r="V204" s="3"/>
      <c r="W204" s="3"/>
      <c r="X204" s="28"/>
      <c r="Y204" s="28"/>
      <c r="Z204" s="28"/>
      <c r="AA204" s="29"/>
      <c r="AB204" s="29"/>
      <c r="AC204" s="29"/>
      <c r="AD204" s="129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ht="17.25" customHeight="1" outlineLevel="1">
      <c r="A205" s="3"/>
      <c r="B205" s="3"/>
      <c r="C205" s="3"/>
      <c r="D205" s="3"/>
      <c r="E205" s="3"/>
      <c r="F205" s="3"/>
      <c r="G205" s="3"/>
      <c r="H205" s="66"/>
      <c r="I205" s="66"/>
      <c r="J205" s="66"/>
      <c r="K205" s="66"/>
      <c r="L205" s="66"/>
      <c r="M205" s="66"/>
      <c r="N205" s="66"/>
      <c r="O205" s="66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29"/>
      <c r="AB205" s="129"/>
      <c r="AC205" s="129"/>
      <c r="AD205" s="129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0" t="s">
        <v>257</v>
      </c>
      <c r="B1" s="131" t="s">
        <v>258</v>
      </c>
      <c r="C1" s="132"/>
      <c r="D1" s="132"/>
      <c r="E1" s="133" t="s">
        <v>259</v>
      </c>
      <c r="F1" s="134" t="s">
        <v>260</v>
      </c>
      <c r="G1" s="133" t="s">
        <v>261</v>
      </c>
      <c r="H1" s="133" t="s">
        <v>31</v>
      </c>
      <c r="I1" s="135" t="s">
        <v>262</v>
      </c>
      <c r="J1" s="135" t="s">
        <v>263</v>
      </c>
      <c r="K1" s="136" t="s">
        <v>264</v>
      </c>
      <c r="L1" s="137"/>
      <c r="M1" s="138"/>
      <c r="N1" s="136" t="s">
        <v>265</v>
      </c>
      <c r="O1" s="139"/>
      <c r="P1" s="140"/>
      <c r="Q1" s="141"/>
      <c r="S1" s="142" t="s">
        <v>266</v>
      </c>
      <c r="T1" s="143" t="s">
        <v>267</v>
      </c>
      <c r="U1" s="144" t="s">
        <v>268</v>
      </c>
      <c r="V1" s="145"/>
      <c r="W1" s="145"/>
      <c r="X1" s="145"/>
      <c r="Y1" s="145"/>
      <c r="Z1" s="146"/>
    </row>
    <row r="2">
      <c r="A2" s="147">
        <f t="shared" ref="A2:A56" si="1">IF(J2="","",ROW()-2)</f>
        <v>0</v>
      </c>
      <c r="B2" s="148" t="str">
        <f t="shared" ref="B2:B56" si="2">IFERROR(VLOOKUP($E2,Viewpoint!$A:$D,2,FALSE)&amp;"","")</f>
        <v/>
      </c>
      <c r="C2" s="147" t="str">
        <f t="shared" ref="C2:C35" si="3">IFERROR(VLOOKUP($E2,Viewpoint!$A:$D,3,FALSE)&amp;"","")</f>
        <v/>
      </c>
      <c r="D2" s="149" t="str">
        <f t="shared" ref="D2:D35" si="4">IFERROR(VLOOKUP($E2,Viewpoint_bk!$A:$D,4,FALSE)&amp;"","")</f>
        <v/>
      </c>
      <c r="E2" s="150" t="s">
        <v>269</v>
      </c>
      <c r="F2" s="147" t="str">
        <f>IFERROR(VLOOKUP($E2,Viewpoint!$A:$E,5,FALSE)&amp;"","")</f>
        <v/>
      </c>
      <c r="G2" s="147" t="s">
        <v>270</v>
      </c>
      <c r="H2" s="147" t="s">
        <v>271</v>
      </c>
      <c r="I2" s="147" t="s">
        <v>272</v>
      </c>
      <c r="J2" s="151" t="s">
        <v>272</v>
      </c>
      <c r="K2" s="152" t="s">
        <v>273</v>
      </c>
      <c r="L2" s="153" t="s">
        <v>274</v>
      </c>
      <c r="M2" s="153" t="s">
        <v>275</v>
      </c>
      <c r="N2" s="154"/>
      <c r="O2" s="155"/>
      <c r="P2" s="153" t="s">
        <v>276</v>
      </c>
      <c r="Q2" s="156"/>
      <c r="R2" s="154"/>
      <c r="S2" s="154"/>
      <c r="T2" s="157"/>
      <c r="U2" s="158"/>
      <c r="V2" s="159"/>
      <c r="W2" s="159"/>
      <c r="X2" s="159"/>
      <c r="Y2" s="159"/>
      <c r="Z2" s="160"/>
    </row>
    <row r="3">
      <c r="A3" s="147">
        <f t="shared" si="1"/>
        <v>1</v>
      </c>
      <c r="B3" s="148" t="str">
        <f t="shared" si="2"/>
        <v/>
      </c>
      <c r="C3" s="161" t="str">
        <f t="shared" si="3"/>
        <v/>
      </c>
      <c r="D3" s="149" t="str">
        <f t="shared" si="4"/>
        <v/>
      </c>
      <c r="E3" s="150" t="s">
        <v>269</v>
      </c>
      <c r="F3" s="147" t="str">
        <f>IF(E3="","",IF(E3=E2,"同上",IFERROR(VLOOKUP($E3,Viewpoint!$A:$E,5,FALSE)&amp;"","")))</f>
        <v>同上</v>
      </c>
      <c r="G3" s="147" t="s">
        <v>270</v>
      </c>
      <c r="H3" s="147" t="s">
        <v>277</v>
      </c>
      <c r="I3" s="147" t="s">
        <v>278</v>
      </c>
      <c r="J3" s="151" t="s">
        <v>278</v>
      </c>
      <c r="K3" s="152" t="s">
        <v>273</v>
      </c>
      <c r="L3" s="153" t="s">
        <v>274</v>
      </c>
      <c r="M3" s="153" t="s">
        <v>275</v>
      </c>
      <c r="N3" s="154"/>
      <c r="O3" s="155"/>
      <c r="P3" s="154"/>
      <c r="Q3" s="156"/>
      <c r="R3" s="154"/>
      <c r="S3" s="154"/>
      <c r="T3" s="157"/>
      <c r="U3" s="158"/>
      <c r="V3" s="159"/>
      <c r="W3" s="159"/>
      <c r="X3" s="159"/>
      <c r="Y3" s="159"/>
      <c r="Z3" s="160"/>
    </row>
    <row r="4">
      <c r="A4" s="147">
        <f t="shared" si="1"/>
        <v>2</v>
      </c>
      <c r="B4" s="148" t="str">
        <f t="shared" si="2"/>
        <v/>
      </c>
      <c r="C4" s="147" t="str">
        <f t="shared" si="3"/>
        <v/>
      </c>
      <c r="D4" s="149" t="str">
        <f t="shared" si="4"/>
        <v/>
      </c>
      <c r="E4" s="150" t="s">
        <v>279</v>
      </c>
      <c r="F4" s="147" t="str">
        <f>IFERROR(VLOOKUP($E4,Viewpoint!$A:$E,5,FALSE)&amp;"","")</f>
        <v/>
      </c>
      <c r="G4" s="147" t="s">
        <v>270</v>
      </c>
      <c r="H4" s="147" t="s">
        <v>280</v>
      </c>
      <c r="I4" s="147" t="s">
        <v>278</v>
      </c>
      <c r="J4" s="151" t="s">
        <v>278</v>
      </c>
      <c r="K4" s="152" t="s">
        <v>273</v>
      </c>
      <c r="L4" s="153" t="s">
        <v>274</v>
      </c>
      <c r="M4" s="153" t="s">
        <v>275</v>
      </c>
      <c r="N4" s="154"/>
      <c r="O4" s="155"/>
      <c r="P4" s="154"/>
      <c r="Q4" s="156"/>
      <c r="R4" s="154"/>
      <c r="S4" s="154"/>
      <c r="T4" s="157"/>
      <c r="U4" s="158"/>
      <c r="V4" s="159"/>
      <c r="W4" s="159"/>
      <c r="X4" s="159"/>
      <c r="Y4" s="159"/>
      <c r="Z4" s="160"/>
    </row>
    <row r="5">
      <c r="A5" s="147">
        <f t="shared" si="1"/>
        <v>3</v>
      </c>
      <c r="B5" s="148" t="str">
        <f t="shared" si="2"/>
        <v/>
      </c>
      <c r="C5" s="162" t="str">
        <f t="shared" si="3"/>
        <v/>
      </c>
      <c r="D5" s="149" t="str">
        <f t="shared" si="4"/>
        <v/>
      </c>
      <c r="E5" s="150" t="s">
        <v>279</v>
      </c>
      <c r="F5" s="147" t="str">
        <f t="shared" ref="F5:F26" si="5">IF(E5="","",IF(E5=E4,"同上",IFERROR(VLOOKUP($E5,Viewpoint!$A:$E,5,FALSE)&amp;"","")))</f>
        <v>同上</v>
      </c>
      <c r="G5" s="147" t="s">
        <v>270</v>
      </c>
      <c r="H5" s="147" t="s">
        <v>281</v>
      </c>
      <c r="I5" s="147" t="s">
        <v>278</v>
      </c>
      <c r="J5" s="151" t="s">
        <v>278</v>
      </c>
      <c r="K5" s="152" t="s">
        <v>273</v>
      </c>
      <c r="L5" s="153" t="s">
        <v>274</v>
      </c>
      <c r="M5" s="153" t="s">
        <v>275</v>
      </c>
      <c r="N5" s="154"/>
      <c r="O5" s="155"/>
      <c r="P5" s="154"/>
      <c r="Q5" s="156"/>
      <c r="R5" s="154"/>
      <c r="S5" s="154"/>
      <c r="T5" s="157"/>
      <c r="U5" s="158"/>
      <c r="V5" s="159"/>
      <c r="W5" s="159"/>
      <c r="X5" s="159"/>
      <c r="Y5" s="159"/>
      <c r="Z5" s="160"/>
    </row>
    <row r="6">
      <c r="A6" s="147">
        <f t="shared" si="1"/>
        <v>4</v>
      </c>
      <c r="B6" s="148" t="str">
        <f t="shared" si="2"/>
        <v/>
      </c>
      <c r="C6" s="162" t="str">
        <f t="shared" si="3"/>
        <v/>
      </c>
      <c r="D6" s="149" t="str">
        <f t="shared" si="4"/>
        <v/>
      </c>
      <c r="E6" s="150" t="s">
        <v>279</v>
      </c>
      <c r="F6" s="147" t="str">
        <f t="shared" si="5"/>
        <v>同上</v>
      </c>
      <c r="G6" s="147" t="s">
        <v>270</v>
      </c>
      <c r="H6" s="147" t="s">
        <v>282</v>
      </c>
      <c r="I6" s="147" t="s">
        <v>278</v>
      </c>
      <c r="J6" s="151" t="s">
        <v>278</v>
      </c>
      <c r="K6" s="152" t="s">
        <v>283</v>
      </c>
      <c r="L6" s="153" t="s">
        <v>274</v>
      </c>
      <c r="M6" s="153" t="s">
        <v>275</v>
      </c>
      <c r="N6" s="154"/>
      <c r="O6" s="155"/>
      <c r="P6" s="154"/>
      <c r="Q6" s="156"/>
      <c r="R6" s="154"/>
      <c r="S6" s="154"/>
      <c r="T6" s="157"/>
      <c r="U6" s="158"/>
      <c r="V6" s="159"/>
      <c r="W6" s="159"/>
      <c r="X6" s="159"/>
      <c r="Y6" s="159"/>
      <c r="Z6" s="160"/>
    </row>
    <row r="7">
      <c r="A7" s="147">
        <f t="shared" si="1"/>
        <v>5</v>
      </c>
      <c r="B7" s="163" t="str">
        <f t="shared" si="2"/>
        <v/>
      </c>
      <c r="C7" s="149" t="str">
        <f t="shared" si="3"/>
        <v/>
      </c>
      <c r="D7" s="149" t="str">
        <f t="shared" si="4"/>
        <v/>
      </c>
      <c r="E7" s="150" t="s">
        <v>284</v>
      </c>
      <c r="F7" s="149" t="str">
        <f t="shared" si="5"/>
        <v/>
      </c>
      <c r="G7" s="147" t="s">
        <v>270</v>
      </c>
      <c r="H7" s="147" t="s">
        <v>285</v>
      </c>
      <c r="I7" s="147" t="s">
        <v>278</v>
      </c>
      <c r="J7" s="151" t="s">
        <v>278</v>
      </c>
      <c r="K7" s="152" t="s">
        <v>273</v>
      </c>
      <c r="L7" s="153" t="s">
        <v>274</v>
      </c>
      <c r="M7" s="153" t="s">
        <v>275</v>
      </c>
      <c r="N7" s="154"/>
      <c r="O7" s="155"/>
      <c r="P7" s="154"/>
      <c r="Q7" s="156"/>
      <c r="R7" s="154"/>
      <c r="S7" s="154"/>
      <c r="T7" s="157"/>
      <c r="U7" s="158"/>
      <c r="V7" s="159"/>
      <c r="W7" s="159"/>
      <c r="X7" s="159"/>
      <c r="Y7" s="159"/>
      <c r="Z7" s="160"/>
    </row>
    <row r="8">
      <c r="A8" s="147">
        <f t="shared" si="1"/>
        <v>6</v>
      </c>
      <c r="B8" s="163" t="str">
        <f t="shared" si="2"/>
        <v/>
      </c>
      <c r="C8" s="149" t="str">
        <f t="shared" si="3"/>
        <v/>
      </c>
      <c r="D8" s="149" t="str">
        <f t="shared" si="4"/>
        <v/>
      </c>
      <c r="E8" s="150" t="s">
        <v>284</v>
      </c>
      <c r="F8" s="147" t="str">
        <f t="shared" si="5"/>
        <v>同上</v>
      </c>
      <c r="G8" s="147" t="s">
        <v>270</v>
      </c>
      <c r="H8" s="147" t="s">
        <v>286</v>
      </c>
      <c r="I8" s="147" t="s">
        <v>278</v>
      </c>
      <c r="J8" s="151" t="s">
        <v>278</v>
      </c>
      <c r="K8" s="152" t="s">
        <v>273</v>
      </c>
      <c r="L8" s="153" t="s">
        <v>274</v>
      </c>
      <c r="M8" s="153" t="s">
        <v>275</v>
      </c>
      <c r="N8" s="154"/>
      <c r="O8" s="155"/>
      <c r="P8" s="154"/>
      <c r="Q8" s="156"/>
      <c r="R8" s="154"/>
      <c r="S8" s="154"/>
      <c r="T8" s="157"/>
      <c r="U8" s="158"/>
      <c r="V8" s="159"/>
      <c r="W8" s="159"/>
      <c r="X8" s="159"/>
      <c r="Y8" s="159"/>
      <c r="Z8" s="160"/>
    </row>
    <row r="9">
      <c r="A9" s="147">
        <f t="shared" si="1"/>
        <v>7</v>
      </c>
      <c r="B9" s="163" t="str">
        <f t="shared" si="2"/>
        <v/>
      </c>
      <c r="C9" s="149" t="str">
        <f t="shared" si="3"/>
        <v/>
      </c>
      <c r="D9" s="149" t="str">
        <f t="shared" si="4"/>
        <v/>
      </c>
      <c r="E9" s="150" t="s">
        <v>284</v>
      </c>
      <c r="F9" s="147" t="str">
        <f t="shared" si="5"/>
        <v>同上</v>
      </c>
      <c r="G9" s="147" t="s">
        <v>270</v>
      </c>
      <c r="H9" s="147" t="s">
        <v>287</v>
      </c>
      <c r="I9" s="147" t="s">
        <v>278</v>
      </c>
      <c r="J9" s="151" t="s">
        <v>278</v>
      </c>
      <c r="K9" s="152" t="s">
        <v>273</v>
      </c>
      <c r="L9" s="153" t="s">
        <v>274</v>
      </c>
      <c r="M9" s="153" t="s">
        <v>275</v>
      </c>
      <c r="N9" s="154"/>
      <c r="O9" s="155"/>
      <c r="P9" s="154"/>
      <c r="Q9" s="156"/>
      <c r="R9" s="154"/>
      <c r="S9" s="154"/>
      <c r="T9" s="157"/>
      <c r="U9" s="158"/>
      <c r="V9" s="159"/>
      <c r="W9" s="159"/>
      <c r="X9" s="159"/>
      <c r="Y9" s="159"/>
      <c r="Z9" s="160"/>
    </row>
    <row r="10">
      <c r="A10" s="147">
        <f t="shared" si="1"/>
        <v>8</v>
      </c>
      <c r="B10" s="163" t="str">
        <f t="shared" si="2"/>
        <v/>
      </c>
      <c r="C10" s="149" t="str">
        <f t="shared" si="3"/>
        <v/>
      </c>
      <c r="D10" s="149" t="str">
        <f t="shared" si="4"/>
        <v/>
      </c>
      <c r="E10" s="150" t="s">
        <v>284</v>
      </c>
      <c r="F10" s="147" t="str">
        <f t="shared" si="5"/>
        <v>同上</v>
      </c>
      <c r="G10" s="147" t="s">
        <v>270</v>
      </c>
      <c r="H10" s="164" t="s">
        <v>288</v>
      </c>
      <c r="I10" s="147" t="s">
        <v>278</v>
      </c>
      <c r="J10" s="151" t="s">
        <v>278</v>
      </c>
      <c r="K10" s="152" t="s">
        <v>273</v>
      </c>
      <c r="L10" s="153" t="s">
        <v>274</v>
      </c>
      <c r="M10" s="153" t="s">
        <v>275</v>
      </c>
      <c r="N10" s="154"/>
      <c r="O10" s="155"/>
      <c r="P10" s="154"/>
      <c r="Q10" s="156"/>
      <c r="R10" s="154"/>
      <c r="S10" s="154"/>
      <c r="T10" s="157"/>
      <c r="U10" s="158"/>
      <c r="V10" s="159"/>
      <c r="W10" s="159"/>
      <c r="X10" s="159"/>
      <c r="Y10" s="159"/>
      <c r="Z10" s="160"/>
    </row>
    <row r="11">
      <c r="A11" s="147">
        <f t="shared" si="1"/>
        <v>9</v>
      </c>
      <c r="B11" s="163" t="str">
        <f t="shared" si="2"/>
        <v/>
      </c>
      <c r="C11" s="149" t="str">
        <f t="shared" si="3"/>
        <v/>
      </c>
      <c r="D11" s="149" t="str">
        <f t="shared" si="4"/>
        <v/>
      </c>
      <c r="E11" s="150" t="s">
        <v>284</v>
      </c>
      <c r="F11" s="147" t="str">
        <f t="shared" si="5"/>
        <v>同上</v>
      </c>
      <c r="G11" s="147" t="s">
        <v>270</v>
      </c>
      <c r="H11" s="164" t="s">
        <v>289</v>
      </c>
      <c r="I11" s="147" t="s">
        <v>278</v>
      </c>
      <c r="J11" s="151" t="s">
        <v>278</v>
      </c>
      <c r="K11" s="152" t="s">
        <v>273</v>
      </c>
      <c r="L11" s="153" t="s">
        <v>274</v>
      </c>
      <c r="M11" s="153" t="s">
        <v>275</v>
      </c>
      <c r="N11" s="154"/>
      <c r="O11" s="155"/>
      <c r="P11" s="154"/>
      <c r="Q11" s="156"/>
      <c r="R11" s="154"/>
      <c r="S11" s="154"/>
      <c r="T11" s="157"/>
      <c r="U11" s="158"/>
      <c r="V11" s="159"/>
      <c r="W11" s="159"/>
      <c r="X11" s="159"/>
      <c r="Y11" s="159"/>
      <c r="Z11" s="160"/>
    </row>
    <row r="12">
      <c r="A12" s="147">
        <f t="shared" si="1"/>
        <v>10</v>
      </c>
      <c r="B12" s="163" t="str">
        <f t="shared" si="2"/>
        <v/>
      </c>
      <c r="C12" s="149" t="str">
        <f t="shared" si="3"/>
        <v/>
      </c>
      <c r="D12" s="149" t="str">
        <f t="shared" si="4"/>
        <v/>
      </c>
      <c r="E12" s="150" t="s">
        <v>284</v>
      </c>
      <c r="F12" s="147" t="str">
        <f t="shared" si="5"/>
        <v>同上</v>
      </c>
      <c r="G12" s="147" t="s">
        <v>270</v>
      </c>
      <c r="H12" s="164" t="s">
        <v>290</v>
      </c>
      <c r="I12" s="147" t="s">
        <v>278</v>
      </c>
      <c r="J12" s="151" t="s">
        <v>278</v>
      </c>
      <c r="K12" s="152" t="s">
        <v>273</v>
      </c>
      <c r="L12" s="153" t="s">
        <v>274</v>
      </c>
      <c r="M12" s="153" t="s">
        <v>275</v>
      </c>
      <c r="N12" s="154"/>
      <c r="O12" s="155"/>
      <c r="P12" s="154"/>
      <c r="Q12" s="156"/>
      <c r="R12" s="154"/>
      <c r="S12" s="154"/>
      <c r="T12" s="157"/>
      <c r="U12" s="158"/>
      <c r="V12" s="159"/>
      <c r="W12" s="159"/>
      <c r="X12" s="159"/>
      <c r="Y12" s="159"/>
      <c r="Z12" s="160"/>
    </row>
    <row r="13">
      <c r="A13" s="147">
        <f t="shared" si="1"/>
        <v>11</v>
      </c>
      <c r="B13" s="163" t="str">
        <f t="shared" si="2"/>
        <v/>
      </c>
      <c r="C13" s="149" t="str">
        <f t="shared" si="3"/>
        <v/>
      </c>
      <c r="D13" s="149" t="str">
        <f t="shared" si="4"/>
        <v/>
      </c>
      <c r="E13" s="150" t="s">
        <v>284</v>
      </c>
      <c r="F13" s="147" t="str">
        <f t="shared" si="5"/>
        <v>同上</v>
      </c>
      <c r="G13" s="147" t="s">
        <v>270</v>
      </c>
      <c r="H13" s="164" t="s">
        <v>291</v>
      </c>
      <c r="I13" s="147" t="s">
        <v>278</v>
      </c>
      <c r="J13" s="151" t="s">
        <v>278</v>
      </c>
      <c r="K13" s="152" t="s">
        <v>273</v>
      </c>
      <c r="L13" s="153" t="s">
        <v>274</v>
      </c>
      <c r="M13" s="153" t="s">
        <v>275</v>
      </c>
      <c r="N13" s="154"/>
      <c r="O13" s="155"/>
      <c r="P13" s="154"/>
      <c r="Q13" s="156"/>
      <c r="R13" s="154"/>
      <c r="S13" s="154"/>
      <c r="T13" s="157"/>
      <c r="U13" s="158"/>
      <c r="V13" s="159"/>
      <c r="W13" s="159"/>
      <c r="X13" s="159"/>
      <c r="Y13" s="159"/>
      <c r="Z13" s="160"/>
    </row>
    <row r="14">
      <c r="A14" s="147">
        <f t="shared" si="1"/>
        <v>12</v>
      </c>
      <c r="B14" s="163" t="str">
        <f t="shared" si="2"/>
        <v/>
      </c>
      <c r="C14" s="149" t="str">
        <f t="shared" si="3"/>
        <v/>
      </c>
      <c r="D14" s="149" t="str">
        <f t="shared" si="4"/>
        <v/>
      </c>
      <c r="E14" s="150" t="s">
        <v>284</v>
      </c>
      <c r="F14" s="147" t="str">
        <f t="shared" si="5"/>
        <v>同上</v>
      </c>
      <c r="G14" s="147" t="s">
        <v>270</v>
      </c>
      <c r="H14" s="164" t="s">
        <v>292</v>
      </c>
      <c r="I14" s="147" t="s">
        <v>278</v>
      </c>
      <c r="J14" s="151" t="s">
        <v>278</v>
      </c>
      <c r="K14" s="152" t="s">
        <v>273</v>
      </c>
      <c r="L14" s="153" t="s">
        <v>274</v>
      </c>
      <c r="M14" s="153" t="s">
        <v>275</v>
      </c>
      <c r="N14" s="154"/>
      <c r="O14" s="155"/>
      <c r="P14" s="154"/>
      <c r="Q14" s="156"/>
      <c r="R14" s="154"/>
      <c r="S14" s="154"/>
      <c r="T14" s="157"/>
      <c r="U14" s="158"/>
      <c r="V14" s="159"/>
      <c r="W14" s="159"/>
      <c r="X14" s="159"/>
      <c r="Y14" s="159"/>
      <c r="Z14" s="160"/>
    </row>
    <row r="15">
      <c r="A15" s="147">
        <f t="shared" si="1"/>
        <v>13</v>
      </c>
      <c r="B15" s="163" t="str">
        <f t="shared" si="2"/>
        <v/>
      </c>
      <c r="C15" s="149" t="str">
        <f t="shared" si="3"/>
        <v/>
      </c>
      <c r="D15" s="149" t="str">
        <f t="shared" si="4"/>
        <v/>
      </c>
      <c r="E15" s="150" t="s">
        <v>284</v>
      </c>
      <c r="F15" s="147" t="str">
        <f t="shared" si="5"/>
        <v>同上</v>
      </c>
      <c r="G15" s="147" t="s">
        <v>270</v>
      </c>
      <c r="H15" s="164" t="s">
        <v>293</v>
      </c>
      <c r="I15" s="147" t="s">
        <v>278</v>
      </c>
      <c r="J15" s="151" t="s">
        <v>278</v>
      </c>
      <c r="K15" s="152" t="s">
        <v>273</v>
      </c>
      <c r="L15" s="153" t="s">
        <v>274</v>
      </c>
      <c r="M15" s="153" t="s">
        <v>275</v>
      </c>
      <c r="N15" s="154"/>
      <c r="O15" s="155"/>
      <c r="P15" s="154"/>
      <c r="Q15" s="156"/>
      <c r="R15" s="154"/>
      <c r="S15" s="154"/>
      <c r="T15" s="157"/>
      <c r="U15" s="158"/>
      <c r="V15" s="159"/>
      <c r="W15" s="159"/>
      <c r="X15" s="159"/>
      <c r="Y15" s="159"/>
      <c r="Z15" s="160"/>
    </row>
    <row r="16">
      <c r="A16" s="147">
        <f t="shared" si="1"/>
        <v>14</v>
      </c>
      <c r="B16" s="163" t="str">
        <f t="shared" si="2"/>
        <v/>
      </c>
      <c r="C16" s="147" t="str">
        <f t="shared" si="3"/>
        <v/>
      </c>
      <c r="D16" s="149" t="str">
        <f t="shared" si="4"/>
        <v/>
      </c>
      <c r="E16" s="165" t="s">
        <v>294</v>
      </c>
      <c r="F16" s="147" t="str">
        <f t="shared" si="5"/>
        <v/>
      </c>
      <c r="G16" s="147" t="s">
        <v>270</v>
      </c>
      <c r="H16" s="147" t="s">
        <v>295</v>
      </c>
      <c r="I16" s="147" t="s">
        <v>278</v>
      </c>
      <c r="J16" s="151" t="s">
        <v>278</v>
      </c>
      <c r="K16" s="152" t="s">
        <v>273</v>
      </c>
      <c r="L16" s="153" t="s">
        <v>274</v>
      </c>
      <c r="M16" s="153" t="s">
        <v>275</v>
      </c>
      <c r="N16" s="154"/>
      <c r="O16" s="155"/>
      <c r="P16" s="154"/>
      <c r="Q16" s="156"/>
      <c r="R16" s="154"/>
      <c r="S16" s="154"/>
      <c r="T16" s="157"/>
      <c r="U16" s="158"/>
      <c r="V16" s="159"/>
      <c r="W16" s="159"/>
      <c r="X16" s="159"/>
      <c r="Y16" s="159"/>
      <c r="Z16" s="160"/>
    </row>
    <row r="17">
      <c r="A17" s="147">
        <f t="shared" si="1"/>
        <v>15</v>
      </c>
      <c r="B17" s="163" t="str">
        <f t="shared" si="2"/>
        <v/>
      </c>
      <c r="C17" s="147" t="str">
        <f t="shared" si="3"/>
        <v/>
      </c>
      <c r="D17" s="149" t="str">
        <f t="shared" si="4"/>
        <v/>
      </c>
      <c r="E17" s="165" t="s">
        <v>294</v>
      </c>
      <c r="F17" s="147" t="str">
        <f t="shared" si="5"/>
        <v>同上</v>
      </c>
      <c r="G17" s="147" t="s">
        <v>270</v>
      </c>
      <c r="H17" s="147" t="s">
        <v>296</v>
      </c>
      <c r="I17" s="147" t="s">
        <v>278</v>
      </c>
      <c r="J17" s="151" t="s">
        <v>278</v>
      </c>
      <c r="K17" s="152" t="s">
        <v>273</v>
      </c>
      <c r="L17" s="153" t="s">
        <v>274</v>
      </c>
      <c r="M17" s="153" t="s">
        <v>275</v>
      </c>
      <c r="N17" s="154"/>
      <c r="O17" s="155"/>
      <c r="P17" s="154"/>
      <c r="Q17" s="156"/>
      <c r="R17" s="154"/>
      <c r="S17" s="154"/>
      <c r="T17" s="157"/>
      <c r="U17" s="158"/>
      <c r="V17" s="159"/>
      <c r="W17" s="159"/>
      <c r="X17" s="159"/>
      <c r="Y17" s="159"/>
      <c r="Z17" s="160"/>
    </row>
    <row r="18">
      <c r="A18" s="147">
        <f t="shared" si="1"/>
        <v>16</v>
      </c>
      <c r="B18" s="163" t="str">
        <f t="shared" si="2"/>
        <v/>
      </c>
      <c r="C18" s="147" t="str">
        <f t="shared" si="3"/>
        <v/>
      </c>
      <c r="D18" s="149" t="str">
        <f t="shared" si="4"/>
        <v/>
      </c>
      <c r="E18" s="165" t="s">
        <v>294</v>
      </c>
      <c r="F18" s="147" t="str">
        <f t="shared" si="5"/>
        <v>同上</v>
      </c>
      <c r="G18" s="147" t="s">
        <v>270</v>
      </c>
      <c r="H18" s="147" t="s">
        <v>297</v>
      </c>
      <c r="I18" s="147" t="s">
        <v>278</v>
      </c>
      <c r="J18" s="151" t="s">
        <v>278</v>
      </c>
      <c r="K18" s="152" t="s">
        <v>273</v>
      </c>
      <c r="L18" s="153" t="s">
        <v>274</v>
      </c>
      <c r="M18" s="153" t="s">
        <v>275</v>
      </c>
      <c r="N18" s="154"/>
      <c r="O18" s="155"/>
      <c r="P18" s="154"/>
      <c r="Q18" s="156"/>
      <c r="R18" s="154"/>
      <c r="S18" s="154"/>
      <c r="T18" s="157"/>
      <c r="U18" s="158"/>
      <c r="V18" s="159"/>
      <c r="W18" s="159"/>
      <c r="X18" s="159"/>
      <c r="Y18" s="159"/>
      <c r="Z18" s="160"/>
    </row>
    <row r="19">
      <c r="A19" s="147">
        <f t="shared" si="1"/>
        <v>17</v>
      </c>
      <c r="B19" s="163" t="str">
        <f t="shared" si="2"/>
        <v/>
      </c>
      <c r="C19" s="149" t="str">
        <f t="shared" si="3"/>
        <v/>
      </c>
      <c r="D19" s="149" t="str">
        <f t="shared" si="4"/>
        <v/>
      </c>
      <c r="E19" s="165" t="s">
        <v>298</v>
      </c>
      <c r="F19" s="147" t="str">
        <f t="shared" si="5"/>
        <v/>
      </c>
      <c r="G19" s="147" t="s">
        <v>270</v>
      </c>
      <c r="H19" s="147" t="s">
        <v>299</v>
      </c>
      <c r="I19" s="147" t="s">
        <v>278</v>
      </c>
      <c r="J19" s="151" t="s">
        <v>278</v>
      </c>
      <c r="K19" s="152" t="s">
        <v>283</v>
      </c>
      <c r="L19" s="153" t="s">
        <v>274</v>
      </c>
      <c r="M19" s="153" t="s">
        <v>275</v>
      </c>
      <c r="N19" s="154"/>
      <c r="O19" s="155"/>
      <c r="P19" s="154"/>
      <c r="Q19" s="156"/>
      <c r="R19" s="154"/>
      <c r="S19" s="154"/>
      <c r="T19" s="157"/>
      <c r="U19" s="158"/>
      <c r="V19" s="159"/>
      <c r="W19" s="159"/>
      <c r="X19" s="159"/>
      <c r="Y19" s="159"/>
      <c r="Z19" s="160"/>
    </row>
    <row r="20">
      <c r="A20" s="147">
        <f t="shared" si="1"/>
        <v>18</v>
      </c>
      <c r="B20" s="163" t="str">
        <f t="shared" si="2"/>
        <v/>
      </c>
      <c r="C20" s="149" t="str">
        <f t="shared" si="3"/>
        <v/>
      </c>
      <c r="D20" s="149" t="str">
        <f t="shared" si="4"/>
        <v/>
      </c>
      <c r="E20" s="165" t="s">
        <v>298</v>
      </c>
      <c r="F20" s="147" t="str">
        <f t="shared" si="5"/>
        <v>同上</v>
      </c>
      <c r="G20" s="147" t="s">
        <v>270</v>
      </c>
      <c r="H20" s="147" t="s">
        <v>300</v>
      </c>
      <c r="I20" s="147" t="s">
        <v>278</v>
      </c>
      <c r="J20" s="151" t="s">
        <v>278</v>
      </c>
      <c r="K20" s="152" t="s">
        <v>283</v>
      </c>
      <c r="L20" s="153" t="s">
        <v>274</v>
      </c>
      <c r="M20" s="153" t="s">
        <v>275</v>
      </c>
      <c r="N20" s="154"/>
      <c r="O20" s="155"/>
      <c r="P20" s="154"/>
      <c r="Q20" s="156"/>
      <c r="R20" s="154"/>
      <c r="S20" s="154"/>
      <c r="T20" s="157"/>
      <c r="U20" s="158"/>
      <c r="V20" s="159"/>
      <c r="W20" s="159"/>
      <c r="X20" s="159"/>
      <c r="Y20" s="159"/>
      <c r="Z20" s="160"/>
    </row>
    <row r="21">
      <c r="A21" s="147">
        <f t="shared" si="1"/>
        <v>19</v>
      </c>
      <c r="B21" s="163" t="str">
        <f t="shared" si="2"/>
        <v/>
      </c>
      <c r="C21" s="149" t="str">
        <f t="shared" si="3"/>
        <v/>
      </c>
      <c r="D21" s="149" t="str">
        <f t="shared" si="4"/>
        <v/>
      </c>
      <c r="E21" s="165" t="s">
        <v>298</v>
      </c>
      <c r="F21" s="147" t="str">
        <f t="shared" si="5"/>
        <v>同上</v>
      </c>
      <c r="G21" s="147" t="s">
        <v>270</v>
      </c>
      <c r="H21" s="147" t="s">
        <v>301</v>
      </c>
      <c r="I21" s="147" t="s">
        <v>278</v>
      </c>
      <c r="J21" s="151" t="s">
        <v>278</v>
      </c>
      <c r="K21" s="152" t="s">
        <v>283</v>
      </c>
      <c r="L21" s="153" t="s">
        <v>274</v>
      </c>
      <c r="M21" s="153" t="s">
        <v>275</v>
      </c>
      <c r="N21" s="154"/>
      <c r="O21" s="155"/>
      <c r="P21" s="154"/>
      <c r="Q21" s="156"/>
      <c r="R21" s="154"/>
      <c r="S21" s="154"/>
      <c r="T21" s="157"/>
      <c r="U21" s="158"/>
      <c r="V21" s="159"/>
      <c r="W21" s="159"/>
      <c r="X21" s="159"/>
      <c r="Y21" s="159"/>
      <c r="Z21" s="160"/>
    </row>
    <row r="22">
      <c r="A22" s="147">
        <f t="shared" si="1"/>
        <v>20</v>
      </c>
      <c r="B22" s="163" t="str">
        <f t="shared" si="2"/>
        <v/>
      </c>
      <c r="C22" s="149" t="str">
        <f t="shared" si="3"/>
        <v/>
      </c>
      <c r="D22" s="149" t="str">
        <f t="shared" si="4"/>
        <v/>
      </c>
      <c r="E22" s="165" t="s">
        <v>298</v>
      </c>
      <c r="F22" s="147" t="str">
        <f t="shared" si="5"/>
        <v>同上</v>
      </c>
      <c r="G22" s="147" t="s">
        <v>270</v>
      </c>
      <c r="H22" s="147" t="s">
        <v>302</v>
      </c>
      <c r="I22" s="147" t="s">
        <v>278</v>
      </c>
      <c r="J22" s="151" t="s">
        <v>278</v>
      </c>
      <c r="K22" s="152" t="s">
        <v>283</v>
      </c>
      <c r="L22" s="153" t="s">
        <v>274</v>
      </c>
      <c r="M22" s="153" t="s">
        <v>275</v>
      </c>
      <c r="N22" s="154"/>
      <c r="O22" s="155"/>
      <c r="P22" s="154"/>
      <c r="Q22" s="156"/>
      <c r="R22" s="154"/>
      <c r="S22" s="154"/>
      <c r="T22" s="157"/>
      <c r="U22" s="158"/>
      <c r="V22" s="159"/>
      <c r="W22" s="159"/>
      <c r="X22" s="159"/>
      <c r="Y22" s="159"/>
      <c r="Z22" s="160"/>
    </row>
    <row r="23">
      <c r="A23" s="147">
        <f t="shared" si="1"/>
        <v>21</v>
      </c>
      <c r="B23" s="163" t="str">
        <f t="shared" si="2"/>
        <v/>
      </c>
      <c r="C23" s="149" t="str">
        <f t="shared" si="3"/>
        <v/>
      </c>
      <c r="D23" s="149" t="str">
        <f t="shared" si="4"/>
        <v/>
      </c>
      <c r="E23" s="165" t="s">
        <v>298</v>
      </c>
      <c r="F23" s="147" t="str">
        <f t="shared" si="5"/>
        <v>同上</v>
      </c>
      <c r="G23" s="147" t="s">
        <v>270</v>
      </c>
      <c r="H23" s="147" t="s">
        <v>303</v>
      </c>
      <c r="I23" s="147" t="s">
        <v>278</v>
      </c>
      <c r="J23" s="151" t="s">
        <v>278</v>
      </c>
      <c r="K23" s="152" t="s">
        <v>283</v>
      </c>
      <c r="L23" s="153" t="s">
        <v>274</v>
      </c>
      <c r="M23" s="153" t="s">
        <v>275</v>
      </c>
      <c r="N23" s="154"/>
      <c r="O23" s="155"/>
      <c r="P23" s="154"/>
      <c r="Q23" s="156"/>
      <c r="R23" s="154"/>
      <c r="S23" s="154"/>
      <c r="T23" s="157"/>
      <c r="U23" s="158"/>
      <c r="V23" s="159"/>
      <c r="W23" s="159"/>
      <c r="X23" s="159"/>
      <c r="Y23" s="159"/>
      <c r="Z23" s="160"/>
    </row>
    <row r="24">
      <c r="A24" s="147">
        <f t="shared" si="1"/>
        <v>22</v>
      </c>
      <c r="B24" s="163" t="str">
        <f t="shared" si="2"/>
        <v/>
      </c>
      <c r="C24" s="149" t="str">
        <f t="shared" si="3"/>
        <v/>
      </c>
      <c r="D24" s="149" t="str">
        <f t="shared" si="4"/>
        <v/>
      </c>
      <c r="E24" s="165" t="s">
        <v>298</v>
      </c>
      <c r="F24" s="147" t="str">
        <f t="shared" si="5"/>
        <v>同上</v>
      </c>
      <c r="G24" s="147" t="s">
        <v>270</v>
      </c>
      <c r="H24" s="147" t="s">
        <v>304</v>
      </c>
      <c r="I24" s="147" t="s">
        <v>278</v>
      </c>
      <c r="J24" s="151" t="s">
        <v>278</v>
      </c>
      <c r="K24" s="152" t="s">
        <v>283</v>
      </c>
      <c r="L24" s="153" t="s">
        <v>274</v>
      </c>
      <c r="M24" s="153" t="s">
        <v>275</v>
      </c>
      <c r="N24" s="154"/>
      <c r="O24" s="155"/>
      <c r="P24" s="154"/>
      <c r="Q24" s="156"/>
      <c r="R24" s="154"/>
      <c r="S24" s="154"/>
      <c r="T24" s="157"/>
      <c r="U24" s="158"/>
      <c r="V24" s="159"/>
      <c r="W24" s="159"/>
      <c r="X24" s="159"/>
      <c r="Y24" s="159"/>
      <c r="Z24" s="160"/>
    </row>
    <row r="25">
      <c r="A25" s="147">
        <f t="shared" si="1"/>
        <v>23</v>
      </c>
      <c r="B25" s="148" t="str">
        <f t="shared" si="2"/>
        <v/>
      </c>
      <c r="C25" s="147" t="str">
        <f t="shared" si="3"/>
        <v/>
      </c>
      <c r="D25" s="149" t="str">
        <f t="shared" si="4"/>
        <v/>
      </c>
      <c r="E25" s="150" t="s">
        <v>279</v>
      </c>
      <c r="F25" s="147" t="str">
        <f t="shared" si="5"/>
        <v/>
      </c>
      <c r="G25" s="147" t="s">
        <v>270</v>
      </c>
      <c r="H25" s="166" t="s">
        <v>285</v>
      </c>
      <c r="I25" s="147" t="s">
        <v>278</v>
      </c>
      <c r="J25" s="151" t="s">
        <v>278</v>
      </c>
      <c r="K25" s="152" t="s">
        <v>273</v>
      </c>
      <c r="L25" s="153" t="s">
        <v>274</v>
      </c>
      <c r="M25" s="153" t="s">
        <v>275</v>
      </c>
      <c r="N25" s="154"/>
      <c r="O25" s="155"/>
      <c r="P25" s="154"/>
      <c r="Q25" s="156"/>
      <c r="R25" s="154"/>
      <c r="S25" s="154"/>
      <c r="T25" s="157"/>
      <c r="U25" s="167"/>
      <c r="V25" s="168"/>
      <c r="W25" s="168"/>
      <c r="X25" s="168"/>
      <c r="Y25" s="168"/>
      <c r="Z25" s="169"/>
    </row>
    <row r="26">
      <c r="A26" s="147">
        <f t="shared" si="1"/>
        <v>24</v>
      </c>
      <c r="B26" s="148" t="str">
        <f t="shared" si="2"/>
        <v/>
      </c>
      <c r="C26" s="147" t="str">
        <f t="shared" si="3"/>
        <v/>
      </c>
      <c r="D26" s="149" t="str">
        <f t="shared" si="4"/>
        <v/>
      </c>
      <c r="E26" s="150" t="s">
        <v>279</v>
      </c>
      <c r="F26" s="147" t="str">
        <f t="shared" si="5"/>
        <v>同上</v>
      </c>
      <c r="G26" s="147" t="s">
        <v>270</v>
      </c>
      <c r="H26" s="166" t="s">
        <v>292</v>
      </c>
      <c r="I26" s="147" t="s">
        <v>278</v>
      </c>
      <c r="J26" s="151" t="s">
        <v>278</v>
      </c>
      <c r="K26" s="152" t="s">
        <v>273</v>
      </c>
      <c r="L26" s="153" t="s">
        <v>274</v>
      </c>
      <c r="M26" s="153" t="s">
        <v>275</v>
      </c>
      <c r="N26" s="154"/>
      <c r="O26" s="155"/>
      <c r="P26" s="154"/>
      <c r="Q26" s="156"/>
      <c r="R26" s="154"/>
      <c r="S26" s="154"/>
      <c r="T26" s="157"/>
      <c r="U26" s="167"/>
      <c r="V26" s="168"/>
      <c r="W26" s="168"/>
      <c r="X26" s="168"/>
      <c r="Y26" s="168"/>
      <c r="Z26" s="169"/>
    </row>
    <row r="27">
      <c r="A27" s="147">
        <f t="shared" si="1"/>
        <v>25</v>
      </c>
      <c r="B27" s="148" t="str">
        <f t="shared" si="2"/>
        <v/>
      </c>
      <c r="C27" s="147" t="str">
        <f t="shared" si="3"/>
        <v/>
      </c>
      <c r="D27" s="149" t="str">
        <f t="shared" si="4"/>
        <v/>
      </c>
      <c r="E27" s="150" t="s">
        <v>279</v>
      </c>
      <c r="F27" s="147" t="str">
        <f>IF(E27="","",IF(E27=E25,"同上",IFERROR(VLOOKUP($E27,Viewpoint!$A:$E,5,FALSE)&amp;"","")))</f>
        <v>同上</v>
      </c>
      <c r="G27" s="147" t="s">
        <v>270</v>
      </c>
      <c r="H27" s="166" t="s">
        <v>293</v>
      </c>
      <c r="I27" s="147" t="s">
        <v>278</v>
      </c>
      <c r="J27" s="151" t="s">
        <v>278</v>
      </c>
      <c r="K27" s="152" t="s">
        <v>273</v>
      </c>
      <c r="L27" s="153" t="s">
        <v>274</v>
      </c>
      <c r="M27" s="153" t="s">
        <v>275</v>
      </c>
      <c r="N27" s="154"/>
      <c r="O27" s="155"/>
      <c r="P27" s="154"/>
      <c r="Q27" s="156"/>
      <c r="R27" s="154"/>
      <c r="S27" s="154"/>
      <c r="T27" s="157"/>
      <c r="U27" s="158"/>
      <c r="V27" s="159"/>
      <c r="W27" s="159"/>
      <c r="X27" s="159"/>
      <c r="Y27" s="159"/>
      <c r="Z27" s="160"/>
    </row>
    <row r="28">
      <c r="A28" s="147">
        <f t="shared" si="1"/>
        <v>26</v>
      </c>
      <c r="B28" s="148" t="str">
        <f t="shared" si="2"/>
        <v/>
      </c>
      <c r="C28" s="147" t="str">
        <f t="shared" si="3"/>
        <v/>
      </c>
      <c r="D28" s="149" t="str">
        <f t="shared" si="4"/>
        <v/>
      </c>
      <c r="E28" s="150" t="s">
        <v>279</v>
      </c>
      <c r="F28" s="147" t="str">
        <f t="shared" ref="F28:F33" si="6">IF(E28="","",IF(E28=E27,"同上",IFERROR(VLOOKUP($E28,Viewpoint!$A:$E,5,FALSE)&amp;"","")))</f>
        <v>同上</v>
      </c>
      <c r="G28" s="147" t="s">
        <v>270</v>
      </c>
      <c r="H28" s="166" t="s">
        <v>295</v>
      </c>
      <c r="I28" s="147" t="s">
        <v>278</v>
      </c>
      <c r="J28" s="151" t="s">
        <v>278</v>
      </c>
      <c r="K28" s="152" t="s">
        <v>273</v>
      </c>
      <c r="L28" s="153" t="s">
        <v>274</v>
      </c>
      <c r="M28" s="153" t="s">
        <v>275</v>
      </c>
      <c r="N28" s="154"/>
      <c r="O28" s="155"/>
      <c r="P28" s="154"/>
      <c r="Q28" s="156"/>
      <c r="R28" s="154"/>
      <c r="S28" s="154"/>
      <c r="T28" s="157"/>
      <c r="U28" s="158"/>
      <c r="V28" s="159"/>
      <c r="W28" s="159"/>
      <c r="X28" s="159"/>
      <c r="Y28" s="159"/>
      <c r="Z28" s="160"/>
    </row>
    <row r="29">
      <c r="A29" s="147">
        <f t="shared" si="1"/>
        <v>27</v>
      </c>
      <c r="B29" s="148" t="str">
        <f t="shared" si="2"/>
        <v/>
      </c>
      <c r="C29" s="147" t="str">
        <f t="shared" si="3"/>
        <v/>
      </c>
      <c r="D29" s="149" t="str">
        <f t="shared" si="4"/>
        <v/>
      </c>
      <c r="E29" s="150" t="s">
        <v>279</v>
      </c>
      <c r="F29" s="147" t="str">
        <f t="shared" si="6"/>
        <v>同上</v>
      </c>
      <c r="G29" s="147" t="s">
        <v>270</v>
      </c>
      <c r="H29" s="166" t="s">
        <v>296</v>
      </c>
      <c r="I29" s="147" t="s">
        <v>278</v>
      </c>
      <c r="J29" s="151" t="s">
        <v>278</v>
      </c>
      <c r="K29" s="152" t="s">
        <v>273</v>
      </c>
      <c r="L29" s="153" t="s">
        <v>274</v>
      </c>
      <c r="M29" s="153" t="s">
        <v>275</v>
      </c>
      <c r="N29" s="154"/>
      <c r="O29" s="155"/>
      <c r="P29" s="154"/>
      <c r="Q29" s="156"/>
      <c r="R29" s="154"/>
      <c r="S29" s="154"/>
      <c r="T29" s="157"/>
      <c r="U29" s="158"/>
      <c r="V29" s="159"/>
      <c r="W29" s="159"/>
      <c r="X29" s="159"/>
      <c r="Y29" s="159"/>
      <c r="Z29" s="160"/>
    </row>
    <row r="30">
      <c r="A30" s="147">
        <f t="shared" si="1"/>
        <v>28</v>
      </c>
      <c r="B30" s="148" t="str">
        <f t="shared" si="2"/>
        <v/>
      </c>
      <c r="C30" s="147" t="str">
        <f t="shared" si="3"/>
        <v/>
      </c>
      <c r="D30" s="149" t="str">
        <f t="shared" si="4"/>
        <v/>
      </c>
      <c r="E30" s="150" t="s">
        <v>279</v>
      </c>
      <c r="F30" s="147" t="str">
        <f t="shared" si="6"/>
        <v>同上</v>
      </c>
      <c r="G30" s="147" t="s">
        <v>270</v>
      </c>
      <c r="H30" s="166" t="s">
        <v>297</v>
      </c>
      <c r="I30" s="147" t="s">
        <v>278</v>
      </c>
      <c r="J30" s="151" t="s">
        <v>278</v>
      </c>
      <c r="K30" s="152" t="s">
        <v>273</v>
      </c>
      <c r="L30" s="153" t="s">
        <v>274</v>
      </c>
      <c r="M30" s="153" t="s">
        <v>275</v>
      </c>
      <c r="N30" s="154"/>
      <c r="O30" s="155"/>
      <c r="P30" s="154"/>
      <c r="Q30" s="156"/>
      <c r="R30" s="154"/>
      <c r="S30" s="154"/>
      <c r="T30" s="157"/>
      <c r="U30" s="158"/>
      <c r="V30" s="159"/>
      <c r="W30" s="159"/>
      <c r="X30" s="159"/>
      <c r="Y30" s="159"/>
      <c r="Z30" s="160"/>
    </row>
    <row r="31">
      <c r="A31" s="147">
        <f t="shared" si="1"/>
        <v>29</v>
      </c>
      <c r="B31" s="163" t="str">
        <f t="shared" si="2"/>
        <v/>
      </c>
      <c r="C31" s="149" t="str">
        <f t="shared" si="3"/>
        <v/>
      </c>
      <c r="D31" s="149" t="str">
        <f t="shared" si="4"/>
        <v/>
      </c>
      <c r="E31" s="150" t="s">
        <v>305</v>
      </c>
      <c r="F31" s="147" t="str">
        <f t="shared" si="6"/>
        <v/>
      </c>
      <c r="G31" s="147" t="s">
        <v>270</v>
      </c>
      <c r="H31" s="166" t="s">
        <v>295</v>
      </c>
      <c r="I31" s="147" t="s">
        <v>278</v>
      </c>
      <c r="J31" s="151" t="s">
        <v>278</v>
      </c>
      <c r="K31" s="152" t="s">
        <v>283</v>
      </c>
      <c r="L31" s="153" t="s">
        <v>274</v>
      </c>
      <c r="M31" s="153" t="s">
        <v>275</v>
      </c>
      <c r="N31" s="154"/>
      <c r="O31" s="155"/>
      <c r="P31" s="154"/>
      <c r="Q31" s="156"/>
      <c r="R31" s="154"/>
      <c r="S31" s="154"/>
      <c r="T31" s="157"/>
      <c r="U31" s="158"/>
      <c r="V31" s="159"/>
      <c r="W31" s="159"/>
      <c r="X31" s="159"/>
      <c r="Y31" s="159"/>
      <c r="Z31" s="160"/>
    </row>
    <row r="32">
      <c r="A32" s="147">
        <f t="shared" si="1"/>
        <v>30</v>
      </c>
      <c r="B32" s="163" t="str">
        <f t="shared" si="2"/>
        <v/>
      </c>
      <c r="C32" s="149" t="str">
        <f t="shared" si="3"/>
        <v/>
      </c>
      <c r="D32" s="149" t="str">
        <f t="shared" si="4"/>
        <v/>
      </c>
      <c r="E32" s="150" t="s">
        <v>305</v>
      </c>
      <c r="F32" s="147" t="str">
        <f t="shared" si="6"/>
        <v>同上</v>
      </c>
      <c r="G32" s="147" t="s">
        <v>270</v>
      </c>
      <c r="H32" s="166" t="s">
        <v>296</v>
      </c>
      <c r="I32" s="147" t="s">
        <v>278</v>
      </c>
      <c r="J32" s="151" t="s">
        <v>278</v>
      </c>
      <c r="K32" s="152" t="s">
        <v>283</v>
      </c>
      <c r="L32" s="153" t="s">
        <v>274</v>
      </c>
      <c r="M32" s="153" t="s">
        <v>275</v>
      </c>
      <c r="N32" s="154"/>
      <c r="O32" s="155"/>
      <c r="P32" s="154"/>
      <c r="Q32" s="156"/>
      <c r="R32" s="154"/>
      <c r="S32" s="154"/>
      <c r="T32" s="157"/>
      <c r="U32" s="167"/>
      <c r="V32" s="168"/>
      <c r="W32" s="168"/>
      <c r="X32" s="168"/>
      <c r="Y32" s="168"/>
      <c r="Z32" s="169"/>
    </row>
    <row r="33">
      <c r="A33" s="147">
        <f t="shared" si="1"/>
        <v>31</v>
      </c>
      <c r="B33" s="163" t="str">
        <f t="shared" si="2"/>
        <v/>
      </c>
      <c r="C33" s="149" t="str">
        <f t="shared" si="3"/>
        <v/>
      </c>
      <c r="D33" s="149" t="str">
        <f t="shared" si="4"/>
        <v/>
      </c>
      <c r="E33" s="150" t="s">
        <v>305</v>
      </c>
      <c r="F33" s="147" t="str">
        <f t="shared" si="6"/>
        <v>同上</v>
      </c>
      <c r="G33" s="147" t="s">
        <v>270</v>
      </c>
      <c r="H33" s="166" t="s">
        <v>297</v>
      </c>
      <c r="I33" s="147" t="s">
        <v>278</v>
      </c>
      <c r="J33" s="151" t="s">
        <v>278</v>
      </c>
      <c r="K33" s="152" t="s">
        <v>283</v>
      </c>
      <c r="L33" s="153" t="s">
        <v>274</v>
      </c>
      <c r="M33" s="153" t="s">
        <v>275</v>
      </c>
      <c r="N33" s="154"/>
      <c r="O33" s="155"/>
      <c r="P33" s="154"/>
      <c r="Q33" s="156"/>
      <c r="R33" s="154"/>
      <c r="S33" s="154"/>
      <c r="T33" s="157"/>
      <c r="U33" s="167"/>
      <c r="V33" s="168"/>
      <c r="W33" s="168"/>
      <c r="X33" s="168"/>
      <c r="Y33" s="168"/>
      <c r="Z33" s="169"/>
    </row>
    <row r="34">
      <c r="A34" s="147">
        <f t="shared" si="1"/>
        <v>32</v>
      </c>
      <c r="B34" s="148" t="str">
        <f t="shared" si="2"/>
        <v/>
      </c>
      <c r="C34" s="147" t="str">
        <f t="shared" si="3"/>
        <v/>
      </c>
      <c r="D34" s="149" t="str">
        <f t="shared" si="4"/>
        <v/>
      </c>
      <c r="E34" s="165" t="s">
        <v>306</v>
      </c>
      <c r="F34" s="147" t="str">
        <f>IF(E34="","",IF(E34=E6,"同上",IFERROR(VLOOKUP($E34,Viewpoint!$A:$E,5,FALSE)&amp;"","")))</f>
        <v/>
      </c>
      <c r="G34" s="147" t="s">
        <v>270</v>
      </c>
      <c r="H34" s="170" t="s">
        <v>307</v>
      </c>
      <c r="I34" s="147" t="s">
        <v>308</v>
      </c>
      <c r="J34" s="151" t="s">
        <v>308</v>
      </c>
      <c r="K34" s="152" t="s">
        <v>273</v>
      </c>
      <c r="L34" s="153" t="s">
        <v>274</v>
      </c>
      <c r="M34" s="153" t="s">
        <v>275</v>
      </c>
      <c r="N34" s="154"/>
      <c r="O34" s="155"/>
      <c r="P34" s="154"/>
      <c r="Q34" s="156"/>
      <c r="R34" s="154"/>
      <c r="S34" s="154"/>
      <c r="T34" s="157"/>
      <c r="U34" s="158"/>
      <c r="V34" s="159"/>
      <c r="W34" s="159"/>
      <c r="X34" s="159"/>
      <c r="Y34" s="159"/>
      <c r="Z34" s="160"/>
    </row>
    <row r="35">
      <c r="A35" s="147">
        <f t="shared" si="1"/>
        <v>33</v>
      </c>
      <c r="B35" s="148" t="str">
        <f t="shared" si="2"/>
        <v/>
      </c>
      <c r="C35" s="147" t="str">
        <f t="shared" si="3"/>
        <v/>
      </c>
      <c r="D35" s="149" t="str">
        <f t="shared" si="4"/>
        <v/>
      </c>
      <c r="E35" s="165" t="s">
        <v>306</v>
      </c>
      <c r="F35" s="147" t="str">
        <f t="shared" ref="F35:F37" si="7">IF(E35="","",IF(E35=E34,"同上",IFERROR(VLOOKUP($E35,Viewpoint!$A:$E,5,FALSE)&amp;"","")))</f>
        <v>同上</v>
      </c>
      <c r="G35" s="147" t="s">
        <v>270</v>
      </c>
      <c r="H35" s="170" t="s">
        <v>309</v>
      </c>
      <c r="I35" s="147" t="s">
        <v>278</v>
      </c>
      <c r="J35" s="151" t="s">
        <v>278</v>
      </c>
      <c r="K35" s="152" t="s">
        <v>273</v>
      </c>
      <c r="L35" s="153" t="s">
        <v>274</v>
      </c>
      <c r="M35" s="153" t="s">
        <v>275</v>
      </c>
      <c r="N35" s="154"/>
      <c r="O35" s="155"/>
      <c r="P35" s="154"/>
      <c r="Q35" s="156"/>
      <c r="R35" s="154"/>
      <c r="S35" s="154"/>
      <c r="T35" s="157"/>
      <c r="U35" s="158"/>
      <c r="V35" s="159"/>
      <c r="W35" s="159"/>
      <c r="X35" s="159"/>
      <c r="Y35" s="159"/>
      <c r="Z35" s="160"/>
    </row>
    <row r="36">
      <c r="A36" s="147">
        <f t="shared" si="1"/>
        <v>34</v>
      </c>
      <c r="B36" s="148" t="str">
        <f t="shared" si="2"/>
        <v/>
      </c>
      <c r="C36" s="149"/>
      <c r="D36" s="149"/>
      <c r="E36" s="150" t="s">
        <v>306</v>
      </c>
      <c r="F36" s="147" t="str">
        <f t="shared" si="7"/>
        <v>同上</v>
      </c>
      <c r="G36" s="147" t="s">
        <v>310</v>
      </c>
      <c r="H36" s="166" t="s">
        <v>311</v>
      </c>
      <c r="I36" s="147" t="s">
        <v>278</v>
      </c>
      <c r="J36" s="151" t="s">
        <v>278</v>
      </c>
      <c r="K36" s="152" t="s">
        <v>273</v>
      </c>
      <c r="L36" s="153" t="s">
        <v>274</v>
      </c>
      <c r="M36" s="153" t="s">
        <v>275</v>
      </c>
      <c r="N36" s="154"/>
      <c r="O36" s="155"/>
      <c r="P36" s="154"/>
      <c r="Q36" s="156"/>
      <c r="R36" s="154"/>
      <c r="S36" s="154"/>
      <c r="T36" s="157"/>
      <c r="U36" s="171"/>
      <c r="V36" s="171"/>
      <c r="W36" s="171"/>
      <c r="X36" s="171"/>
      <c r="Y36" s="171"/>
      <c r="Z36" s="171"/>
    </row>
    <row r="37">
      <c r="A37" s="147">
        <f t="shared" si="1"/>
        <v>35</v>
      </c>
      <c r="B37" s="163" t="str">
        <f t="shared" si="2"/>
        <v/>
      </c>
      <c r="C37" s="149" t="str">
        <f t="shared" ref="C37:C38" si="8">IFERROR(VLOOKUP($E37,Viewpoint!$A:$D,3,FALSE)&amp;"","")</f>
        <v/>
      </c>
      <c r="D37" s="149" t="str">
        <f t="shared" ref="D37:D38" si="9">IFERROR(VLOOKUP($E37,Viewpoint_bk!$A:$D,4,FALSE)&amp;"","")</f>
        <v/>
      </c>
      <c r="E37" s="150" t="s">
        <v>305</v>
      </c>
      <c r="F37" s="147" t="str">
        <f t="shared" si="7"/>
        <v/>
      </c>
      <c r="G37" s="147" t="s">
        <v>270</v>
      </c>
      <c r="H37" s="172" t="s">
        <v>312</v>
      </c>
      <c r="I37" s="147" t="s">
        <v>278</v>
      </c>
      <c r="J37" s="151" t="s">
        <v>278</v>
      </c>
      <c r="K37" s="152" t="s">
        <v>273</v>
      </c>
      <c r="L37" s="153" t="s">
        <v>274</v>
      </c>
      <c r="M37" s="153" t="s">
        <v>275</v>
      </c>
      <c r="N37" s="154"/>
      <c r="O37" s="155"/>
      <c r="P37" s="154"/>
      <c r="Q37" s="156"/>
      <c r="R37" s="154"/>
      <c r="S37" s="154"/>
      <c r="T37" s="157"/>
      <c r="U37" s="158"/>
      <c r="V37" s="159"/>
      <c r="W37" s="159"/>
      <c r="X37" s="159"/>
      <c r="Y37" s="159"/>
      <c r="Z37" s="160"/>
    </row>
    <row r="38">
      <c r="A38" s="147">
        <f t="shared" si="1"/>
        <v>36</v>
      </c>
      <c r="B38" s="163" t="str">
        <f t="shared" si="2"/>
        <v/>
      </c>
      <c r="C38" s="149" t="str">
        <f t="shared" si="8"/>
        <v/>
      </c>
      <c r="D38" s="149" t="str">
        <f t="shared" si="9"/>
        <v/>
      </c>
      <c r="E38" s="165" t="s">
        <v>305</v>
      </c>
      <c r="F38" s="147" t="str">
        <f>IF(E38="","",IF(E38=#REF!,"同上",IFERROR(VLOOKUP($E38,Viewpoint!$A:$E,5,FALSE)&amp;"","")))</f>
        <v>#REF!</v>
      </c>
      <c r="G38" s="147" t="s">
        <v>270</v>
      </c>
      <c r="H38" s="172" t="s">
        <v>313</v>
      </c>
      <c r="I38" s="147" t="s">
        <v>278</v>
      </c>
      <c r="J38" s="151" t="s">
        <v>278</v>
      </c>
      <c r="K38" s="152" t="s">
        <v>273</v>
      </c>
      <c r="L38" s="153" t="s">
        <v>274</v>
      </c>
      <c r="M38" s="153" t="s">
        <v>275</v>
      </c>
      <c r="N38" s="154"/>
      <c r="O38" s="155"/>
      <c r="P38" s="154"/>
      <c r="Q38" s="156"/>
      <c r="R38" s="154"/>
      <c r="S38" s="154"/>
      <c r="T38" s="157"/>
      <c r="U38" s="158"/>
      <c r="V38" s="159"/>
      <c r="W38" s="159"/>
      <c r="X38" s="159"/>
      <c r="Y38" s="159"/>
      <c r="Z38" s="160"/>
    </row>
    <row r="39">
      <c r="A39" s="147">
        <f t="shared" si="1"/>
        <v>37</v>
      </c>
      <c r="B39" s="163" t="str">
        <f t="shared" si="2"/>
        <v/>
      </c>
      <c r="C39" s="149"/>
      <c r="D39" s="149"/>
      <c r="E39" s="150" t="s">
        <v>305</v>
      </c>
      <c r="F39" s="147" t="str">
        <f t="shared" ref="F39:F56" si="10">IF(E39="","",IF(E39=E38,"同上",IFERROR(VLOOKUP($E39,Viewpoint!$A:$E,5,FALSE)&amp;"","")))</f>
        <v>同上</v>
      </c>
      <c r="G39" s="147" t="s">
        <v>270</v>
      </c>
      <c r="H39" s="172" t="s">
        <v>314</v>
      </c>
      <c r="I39" s="147" t="s">
        <v>278</v>
      </c>
      <c r="J39" s="151" t="s">
        <v>278</v>
      </c>
      <c r="K39" s="152" t="s">
        <v>273</v>
      </c>
      <c r="L39" s="153" t="s">
        <v>274</v>
      </c>
      <c r="M39" s="153" t="s">
        <v>275</v>
      </c>
      <c r="N39" s="154"/>
      <c r="O39" s="155"/>
      <c r="P39" s="154"/>
      <c r="Q39" s="156"/>
      <c r="R39" s="154"/>
      <c r="S39" s="154"/>
      <c r="T39" s="157"/>
      <c r="U39" s="171"/>
      <c r="V39" s="171"/>
      <c r="W39" s="171"/>
      <c r="X39" s="171"/>
      <c r="Y39" s="171"/>
      <c r="Z39" s="171"/>
    </row>
    <row r="40">
      <c r="A40" s="147">
        <f t="shared" si="1"/>
        <v>38</v>
      </c>
      <c r="B40" s="163" t="str">
        <f t="shared" si="2"/>
        <v/>
      </c>
      <c r="C40" s="149"/>
      <c r="D40" s="149"/>
      <c r="E40" s="150" t="s">
        <v>305</v>
      </c>
      <c r="F40" s="147" t="str">
        <f t="shared" si="10"/>
        <v>同上</v>
      </c>
      <c r="G40" s="147" t="s">
        <v>270</v>
      </c>
      <c r="H40" s="172" t="s">
        <v>315</v>
      </c>
      <c r="I40" s="147" t="s">
        <v>278</v>
      </c>
      <c r="J40" s="151" t="s">
        <v>278</v>
      </c>
      <c r="K40" s="152" t="s">
        <v>273</v>
      </c>
      <c r="L40" s="153" t="s">
        <v>274</v>
      </c>
      <c r="M40" s="153" t="s">
        <v>275</v>
      </c>
      <c r="N40" s="154"/>
      <c r="O40" s="155"/>
      <c r="P40" s="154"/>
      <c r="Q40" s="156"/>
      <c r="R40" s="154"/>
      <c r="S40" s="154"/>
      <c r="T40" s="157"/>
      <c r="U40" s="171"/>
      <c r="V40" s="171"/>
      <c r="W40" s="171"/>
      <c r="X40" s="171"/>
      <c r="Y40" s="171"/>
      <c r="Z40" s="171"/>
    </row>
    <row r="41">
      <c r="A41" s="147">
        <f t="shared" si="1"/>
        <v>39</v>
      </c>
      <c r="B41" s="148" t="str">
        <f t="shared" si="2"/>
        <v/>
      </c>
      <c r="C41" s="149"/>
      <c r="D41" s="149"/>
      <c r="E41" s="150" t="s">
        <v>306</v>
      </c>
      <c r="F41" s="147" t="str">
        <f t="shared" si="10"/>
        <v/>
      </c>
      <c r="G41" s="147" t="s">
        <v>270</v>
      </c>
      <c r="H41" s="166" t="s">
        <v>83</v>
      </c>
      <c r="I41" s="147" t="s">
        <v>316</v>
      </c>
      <c r="J41" s="151" t="s">
        <v>316</v>
      </c>
      <c r="K41" s="173" t="s">
        <v>273</v>
      </c>
      <c r="L41" s="174" t="s">
        <v>274</v>
      </c>
      <c r="M41" s="174" t="s">
        <v>317</v>
      </c>
      <c r="N41" s="154"/>
      <c r="O41" s="155"/>
      <c r="P41" s="154"/>
      <c r="Q41" s="156"/>
      <c r="R41" s="154"/>
      <c r="S41" s="154"/>
      <c r="T41" s="157"/>
      <c r="U41" s="171"/>
      <c r="V41" s="171"/>
      <c r="W41" s="171"/>
      <c r="X41" s="171"/>
      <c r="Y41" s="171"/>
      <c r="Z41" s="171"/>
    </row>
    <row r="42">
      <c r="A42" s="147">
        <f t="shared" si="1"/>
        <v>40</v>
      </c>
      <c r="B42" s="148" t="str">
        <f t="shared" si="2"/>
        <v/>
      </c>
      <c r="C42" s="149"/>
      <c r="D42" s="149"/>
      <c r="E42" s="150" t="s">
        <v>306</v>
      </c>
      <c r="F42" s="147" t="str">
        <f t="shared" si="10"/>
        <v>同上</v>
      </c>
      <c r="G42" s="147" t="s">
        <v>270</v>
      </c>
      <c r="H42" s="166" t="s">
        <v>103</v>
      </c>
      <c r="I42" s="147" t="s">
        <v>278</v>
      </c>
      <c r="J42" s="151" t="s">
        <v>278</v>
      </c>
      <c r="K42" s="173" t="s">
        <v>273</v>
      </c>
      <c r="L42" s="174" t="s">
        <v>274</v>
      </c>
      <c r="M42" s="174" t="s">
        <v>317</v>
      </c>
      <c r="N42" s="154"/>
      <c r="O42" s="155"/>
      <c r="P42" s="154"/>
      <c r="Q42" s="156"/>
      <c r="R42" s="154"/>
      <c r="S42" s="154"/>
      <c r="T42" s="157"/>
      <c r="U42" s="171"/>
      <c r="V42" s="171"/>
      <c r="W42" s="171"/>
      <c r="X42" s="171"/>
      <c r="Y42" s="171"/>
      <c r="Z42" s="171"/>
    </row>
    <row r="43">
      <c r="A43" s="147">
        <f t="shared" si="1"/>
        <v>41</v>
      </c>
      <c r="B43" s="163" t="str">
        <f t="shared" si="2"/>
        <v/>
      </c>
      <c r="C43" s="149"/>
      <c r="D43" s="149"/>
      <c r="E43" s="165" t="s">
        <v>305</v>
      </c>
      <c r="F43" s="147" t="str">
        <f t="shared" si="10"/>
        <v/>
      </c>
      <c r="G43" s="147" t="s">
        <v>270</v>
      </c>
      <c r="H43" s="166" t="s">
        <v>318</v>
      </c>
      <c r="I43" s="147" t="s">
        <v>278</v>
      </c>
      <c r="J43" s="151" t="s">
        <v>278</v>
      </c>
      <c r="K43" s="173" t="s">
        <v>273</v>
      </c>
      <c r="L43" s="174" t="s">
        <v>274</v>
      </c>
      <c r="M43" s="174" t="s">
        <v>317</v>
      </c>
      <c r="N43" s="154"/>
      <c r="O43" s="155"/>
      <c r="P43" s="154"/>
      <c r="Q43" s="156"/>
      <c r="R43" s="154"/>
      <c r="S43" s="154"/>
      <c r="T43" s="157"/>
      <c r="U43" s="171"/>
      <c r="V43" s="171"/>
      <c r="W43" s="171"/>
      <c r="X43" s="171"/>
      <c r="Y43" s="171"/>
      <c r="Z43" s="171"/>
    </row>
    <row r="44">
      <c r="A44" s="147">
        <f t="shared" si="1"/>
        <v>42</v>
      </c>
      <c r="B44" s="163" t="str">
        <f t="shared" si="2"/>
        <v/>
      </c>
      <c r="C44" s="149"/>
      <c r="D44" s="149"/>
      <c r="E44" s="165" t="s">
        <v>305</v>
      </c>
      <c r="F44" s="147" t="str">
        <f t="shared" si="10"/>
        <v>同上</v>
      </c>
      <c r="G44" s="147" t="s">
        <v>270</v>
      </c>
      <c r="H44" s="166" t="s">
        <v>319</v>
      </c>
      <c r="I44" s="147" t="s">
        <v>278</v>
      </c>
      <c r="J44" s="151" t="s">
        <v>278</v>
      </c>
      <c r="K44" s="173" t="s">
        <v>273</v>
      </c>
      <c r="L44" s="174" t="s">
        <v>274</v>
      </c>
      <c r="M44" s="174" t="s">
        <v>317</v>
      </c>
      <c r="N44" s="154"/>
      <c r="O44" s="155"/>
      <c r="P44" s="154"/>
      <c r="Q44" s="156"/>
      <c r="R44" s="154"/>
      <c r="S44" s="154"/>
      <c r="T44" s="157"/>
      <c r="U44" s="171"/>
      <c r="V44" s="171"/>
      <c r="W44" s="171"/>
      <c r="X44" s="171"/>
      <c r="Y44" s="171"/>
      <c r="Z44" s="171"/>
    </row>
    <row r="45">
      <c r="A45" s="147">
        <f t="shared" si="1"/>
        <v>43</v>
      </c>
      <c r="B45" s="163" t="str">
        <f t="shared" si="2"/>
        <v/>
      </c>
      <c r="C45" s="149"/>
      <c r="D45" s="149"/>
      <c r="E45" s="165" t="s">
        <v>305</v>
      </c>
      <c r="F45" s="147" t="str">
        <f t="shared" si="10"/>
        <v>同上</v>
      </c>
      <c r="G45" s="147" t="s">
        <v>270</v>
      </c>
      <c r="H45" s="166" t="s">
        <v>107</v>
      </c>
      <c r="I45" s="147" t="s">
        <v>278</v>
      </c>
      <c r="J45" s="151" t="s">
        <v>278</v>
      </c>
      <c r="K45" s="173" t="s">
        <v>273</v>
      </c>
      <c r="L45" s="174" t="s">
        <v>274</v>
      </c>
      <c r="M45" s="174" t="s">
        <v>317</v>
      </c>
      <c r="N45" s="154"/>
      <c r="O45" s="155"/>
      <c r="P45" s="154"/>
      <c r="Q45" s="156"/>
      <c r="R45" s="154"/>
      <c r="S45" s="154"/>
      <c r="T45" s="157"/>
      <c r="U45" s="171"/>
      <c r="V45" s="171"/>
      <c r="W45" s="171"/>
      <c r="X45" s="171"/>
      <c r="Y45" s="171"/>
      <c r="Z45" s="171"/>
    </row>
    <row r="46">
      <c r="A46" s="147">
        <f t="shared" si="1"/>
        <v>44</v>
      </c>
      <c r="B46" s="163" t="str">
        <f t="shared" si="2"/>
        <v/>
      </c>
      <c r="C46" s="149"/>
      <c r="D46" s="149"/>
      <c r="E46" s="165" t="s">
        <v>305</v>
      </c>
      <c r="F46" s="147" t="str">
        <f t="shared" si="10"/>
        <v>同上</v>
      </c>
      <c r="G46" s="147" t="s">
        <v>270</v>
      </c>
      <c r="H46" s="172" t="s">
        <v>124</v>
      </c>
      <c r="I46" s="147" t="s">
        <v>278</v>
      </c>
      <c r="J46" s="151" t="s">
        <v>278</v>
      </c>
      <c r="K46" s="173" t="s">
        <v>273</v>
      </c>
      <c r="L46" s="174" t="s">
        <v>274</v>
      </c>
      <c r="M46" s="174" t="s">
        <v>317</v>
      </c>
      <c r="N46" s="154"/>
      <c r="O46" s="155"/>
      <c r="P46" s="154"/>
      <c r="Q46" s="156"/>
      <c r="R46" s="154"/>
      <c r="S46" s="154"/>
      <c r="T46" s="157"/>
      <c r="U46" s="171"/>
      <c r="V46" s="171"/>
      <c r="W46" s="171"/>
      <c r="X46" s="171"/>
      <c r="Y46" s="171"/>
      <c r="Z46" s="171"/>
    </row>
    <row r="47">
      <c r="A47" s="147">
        <f t="shared" si="1"/>
        <v>45</v>
      </c>
      <c r="B47" s="163" t="str">
        <f t="shared" si="2"/>
        <v/>
      </c>
      <c r="C47" s="149"/>
      <c r="D47" s="149"/>
      <c r="E47" s="165" t="s">
        <v>305</v>
      </c>
      <c r="F47" s="147" t="str">
        <f t="shared" si="10"/>
        <v>同上</v>
      </c>
      <c r="G47" s="147" t="s">
        <v>270</v>
      </c>
      <c r="H47" s="172" t="s">
        <v>146</v>
      </c>
      <c r="I47" s="147" t="s">
        <v>278</v>
      </c>
      <c r="J47" s="151" t="s">
        <v>278</v>
      </c>
      <c r="K47" s="173" t="s">
        <v>273</v>
      </c>
      <c r="L47" s="174" t="s">
        <v>274</v>
      </c>
      <c r="M47" s="174" t="s">
        <v>317</v>
      </c>
      <c r="N47" s="154"/>
      <c r="O47" s="155"/>
      <c r="P47" s="154"/>
      <c r="Q47" s="156"/>
      <c r="R47" s="154"/>
      <c r="S47" s="154"/>
      <c r="T47" s="157"/>
      <c r="U47" s="171"/>
      <c r="V47" s="171"/>
      <c r="W47" s="171"/>
      <c r="X47" s="171"/>
      <c r="Y47" s="171"/>
      <c r="Z47" s="171"/>
    </row>
    <row r="48">
      <c r="A48" s="147">
        <f t="shared" si="1"/>
        <v>46</v>
      </c>
      <c r="B48" s="148" t="str">
        <f t="shared" si="2"/>
        <v/>
      </c>
      <c r="C48" s="149"/>
      <c r="D48" s="149"/>
      <c r="E48" s="150" t="s">
        <v>306</v>
      </c>
      <c r="F48" s="147" t="str">
        <f t="shared" si="10"/>
        <v/>
      </c>
      <c r="G48" s="147" t="s">
        <v>270</v>
      </c>
      <c r="H48" s="172" t="s">
        <v>173</v>
      </c>
      <c r="I48" s="147" t="s">
        <v>278</v>
      </c>
      <c r="J48" s="151" t="s">
        <v>278</v>
      </c>
      <c r="K48" s="173" t="s">
        <v>273</v>
      </c>
      <c r="L48" s="174" t="s">
        <v>274</v>
      </c>
      <c r="M48" s="174" t="s">
        <v>317</v>
      </c>
      <c r="N48" s="154"/>
      <c r="O48" s="155"/>
      <c r="P48" s="154"/>
      <c r="Q48" s="156"/>
      <c r="R48" s="154"/>
      <c r="S48" s="154"/>
      <c r="T48" s="157"/>
      <c r="U48" s="171"/>
      <c r="V48" s="171"/>
      <c r="W48" s="171"/>
      <c r="X48" s="171"/>
      <c r="Y48" s="171"/>
      <c r="Z48" s="171"/>
    </row>
    <row r="49">
      <c r="A49" s="147">
        <f t="shared" si="1"/>
        <v>47</v>
      </c>
      <c r="B49" s="163" t="str">
        <f t="shared" si="2"/>
        <v/>
      </c>
      <c r="C49" s="149"/>
      <c r="D49" s="149"/>
      <c r="E49" s="165" t="s">
        <v>305</v>
      </c>
      <c r="F49" s="147" t="str">
        <f t="shared" si="10"/>
        <v/>
      </c>
      <c r="G49" s="147" t="s">
        <v>270</v>
      </c>
      <c r="H49" s="172" t="s">
        <v>165</v>
      </c>
      <c r="I49" s="147" t="s">
        <v>278</v>
      </c>
      <c r="J49" s="151" t="s">
        <v>278</v>
      </c>
      <c r="K49" s="173" t="s">
        <v>273</v>
      </c>
      <c r="L49" s="174" t="s">
        <v>274</v>
      </c>
      <c r="M49" s="174" t="s">
        <v>317</v>
      </c>
      <c r="N49" s="154"/>
      <c r="O49" s="155"/>
      <c r="P49" s="154"/>
      <c r="Q49" s="156"/>
      <c r="R49" s="154"/>
      <c r="S49" s="154"/>
      <c r="T49" s="157"/>
      <c r="U49" s="171"/>
      <c r="V49" s="171"/>
      <c r="W49" s="171"/>
      <c r="X49" s="171"/>
      <c r="Y49" s="171"/>
      <c r="Z49" s="171"/>
    </row>
    <row r="50">
      <c r="A50" s="147">
        <f t="shared" si="1"/>
        <v>48</v>
      </c>
      <c r="B50" s="163" t="str">
        <f t="shared" si="2"/>
        <v/>
      </c>
      <c r="C50" s="149"/>
      <c r="D50" s="149"/>
      <c r="E50" s="165" t="s">
        <v>305</v>
      </c>
      <c r="F50" s="147" t="str">
        <f t="shared" si="10"/>
        <v>同上</v>
      </c>
      <c r="G50" s="147" t="s">
        <v>270</v>
      </c>
      <c r="H50" s="172" t="s">
        <v>187</v>
      </c>
      <c r="I50" s="147" t="s">
        <v>278</v>
      </c>
      <c r="J50" s="151" t="s">
        <v>278</v>
      </c>
      <c r="K50" s="173" t="s">
        <v>273</v>
      </c>
      <c r="L50" s="174" t="s">
        <v>274</v>
      </c>
      <c r="M50" s="174" t="s">
        <v>317</v>
      </c>
      <c r="N50" s="154"/>
      <c r="O50" s="155"/>
      <c r="P50" s="154"/>
      <c r="Q50" s="156"/>
      <c r="R50" s="154"/>
      <c r="S50" s="154"/>
      <c r="T50" s="157"/>
      <c r="U50" s="171"/>
      <c r="V50" s="171"/>
      <c r="W50" s="171"/>
      <c r="X50" s="171"/>
      <c r="Y50" s="171"/>
      <c r="Z50" s="171"/>
    </row>
    <row r="51">
      <c r="A51" s="147">
        <f t="shared" si="1"/>
        <v>49</v>
      </c>
      <c r="B51" s="148" t="str">
        <f t="shared" si="2"/>
        <v/>
      </c>
      <c r="C51" s="149"/>
      <c r="D51" s="149"/>
      <c r="E51" s="165" t="s">
        <v>306</v>
      </c>
      <c r="F51" s="147" t="str">
        <f t="shared" si="10"/>
        <v/>
      </c>
      <c r="G51" s="147" t="s">
        <v>270</v>
      </c>
      <c r="H51" s="172" t="s">
        <v>204</v>
      </c>
      <c r="I51" s="147" t="s">
        <v>278</v>
      </c>
      <c r="J51" s="151" t="s">
        <v>278</v>
      </c>
      <c r="K51" s="173" t="s">
        <v>273</v>
      </c>
      <c r="L51" s="174" t="s">
        <v>274</v>
      </c>
      <c r="M51" s="174" t="s">
        <v>317</v>
      </c>
      <c r="N51" s="154"/>
      <c r="O51" s="155"/>
      <c r="P51" s="154"/>
      <c r="Q51" s="156"/>
      <c r="R51" s="154"/>
      <c r="S51" s="154"/>
      <c r="T51" s="157"/>
      <c r="U51" s="171"/>
      <c r="V51" s="171"/>
      <c r="W51" s="171"/>
      <c r="X51" s="171"/>
      <c r="Y51" s="171"/>
      <c r="Z51" s="171"/>
    </row>
    <row r="52">
      <c r="A52" s="147">
        <f t="shared" si="1"/>
        <v>50</v>
      </c>
      <c r="B52" s="163" t="str">
        <f t="shared" si="2"/>
        <v/>
      </c>
      <c r="C52" s="149"/>
      <c r="D52" s="149"/>
      <c r="E52" s="165" t="s">
        <v>305</v>
      </c>
      <c r="F52" s="147" t="str">
        <f t="shared" si="10"/>
        <v/>
      </c>
      <c r="G52" s="147" t="s">
        <v>270</v>
      </c>
      <c r="H52" s="172" t="s">
        <v>200</v>
      </c>
      <c r="I52" s="147" t="s">
        <v>278</v>
      </c>
      <c r="J52" s="151" t="s">
        <v>278</v>
      </c>
      <c r="K52" s="173" t="s">
        <v>273</v>
      </c>
      <c r="L52" s="174" t="s">
        <v>274</v>
      </c>
      <c r="M52" s="174" t="s">
        <v>317</v>
      </c>
      <c r="N52" s="154"/>
      <c r="O52" s="155"/>
      <c r="P52" s="154"/>
      <c r="Q52" s="156"/>
      <c r="R52" s="154"/>
      <c r="S52" s="154"/>
      <c r="T52" s="157"/>
      <c r="U52" s="171"/>
      <c r="V52" s="171"/>
      <c r="W52" s="171"/>
      <c r="X52" s="171"/>
      <c r="Y52" s="171"/>
      <c r="Z52" s="171"/>
    </row>
    <row r="53">
      <c r="A53" s="147">
        <f t="shared" si="1"/>
        <v>51</v>
      </c>
      <c r="B53" s="163" t="str">
        <f t="shared" si="2"/>
        <v/>
      </c>
      <c r="C53" s="149"/>
      <c r="D53" s="149"/>
      <c r="E53" s="165" t="s">
        <v>305</v>
      </c>
      <c r="F53" s="147" t="str">
        <f t="shared" si="10"/>
        <v>同上</v>
      </c>
      <c r="G53" s="147" t="s">
        <v>270</v>
      </c>
      <c r="H53" s="172" t="s">
        <v>228</v>
      </c>
      <c r="I53" s="147" t="s">
        <v>278</v>
      </c>
      <c r="J53" s="151" t="s">
        <v>278</v>
      </c>
      <c r="K53" s="173" t="s">
        <v>273</v>
      </c>
      <c r="L53" s="174" t="s">
        <v>274</v>
      </c>
      <c r="M53" s="174" t="s">
        <v>317</v>
      </c>
      <c r="N53" s="154"/>
      <c r="O53" s="155"/>
      <c r="P53" s="154"/>
      <c r="Q53" s="156"/>
      <c r="R53" s="154"/>
      <c r="S53" s="154"/>
      <c r="T53" s="157"/>
      <c r="U53" s="171"/>
      <c r="V53" s="171"/>
      <c r="W53" s="171"/>
      <c r="X53" s="171"/>
      <c r="Y53" s="171"/>
      <c r="Z53" s="171"/>
    </row>
    <row r="54">
      <c r="A54" s="147">
        <f t="shared" si="1"/>
        <v>52</v>
      </c>
      <c r="B54" s="163" t="str">
        <f t="shared" si="2"/>
        <v/>
      </c>
      <c r="C54" s="149"/>
      <c r="D54" s="149"/>
      <c r="E54" s="165" t="s">
        <v>305</v>
      </c>
      <c r="F54" s="147" t="str">
        <f t="shared" si="10"/>
        <v>同上</v>
      </c>
      <c r="G54" s="147" t="s">
        <v>270</v>
      </c>
      <c r="H54" s="172" t="s">
        <v>320</v>
      </c>
      <c r="I54" s="147" t="s">
        <v>278</v>
      </c>
      <c r="J54" s="151" t="s">
        <v>278</v>
      </c>
      <c r="K54" s="173" t="s">
        <v>273</v>
      </c>
      <c r="L54" s="174" t="s">
        <v>274</v>
      </c>
      <c r="M54" s="174" t="s">
        <v>317</v>
      </c>
      <c r="N54" s="154"/>
      <c r="O54" s="155"/>
      <c r="P54" s="154"/>
      <c r="Q54" s="156"/>
      <c r="R54" s="154"/>
      <c r="S54" s="154"/>
      <c r="T54" s="157"/>
      <c r="U54" s="171"/>
      <c r="V54" s="171"/>
      <c r="W54" s="171"/>
      <c r="X54" s="171"/>
      <c r="Y54" s="171"/>
      <c r="Z54" s="171"/>
    </row>
    <row r="55">
      <c r="A55" s="147">
        <f t="shared" si="1"/>
        <v>53</v>
      </c>
      <c r="B55" s="163" t="str">
        <f t="shared" si="2"/>
        <v/>
      </c>
      <c r="C55" s="149"/>
      <c r="D55" s="149"/>
      <c r="E55" s="165" t="s">
        <v>305</v>
      </c>
      <c r="F55" s="147" t="str">
        <f t="shared" si="10"/>
        <v>同上</v>
      </c>
      <c r="G55" s="147" t="s">
        <v>270</v>
      </c>
      <c r="H55" s="172" t="s">
        <v>321</v>
      </c>
      <c r="I55" s="147" t="s">
        <v>278</v>
      </c>
      <c r="J55" s="151" t="s">
        <v>278</v>
      </c>
      <c r="K55" s="173" t="s">
        <v>273</v>
      </c>
      <c r="L55" s="174" t="s">
        <v>274</v>
      </c>
      <c r="M55" s="174" t="s">
        <v>317</v>
      </c>
      <c r="N55" s="154"/>
      <c r="O55" s="155"/>
      <c r="P55" s="154"/>
      <c r="Q55" s="156"/>
      <c r="R55" s="154"/>
      <c r="S55" s="154"/>
      <c r="T55" s="157"/>
      <c r="U55" s="171"/>
      <c r="V55" s="171"/>
      <c r="W55" s="171"/>
      <c r="X55" s="171"/>
      <c r="Y55" s="171"/>
      <c r="Z55" s="171"/>
    </row>
    <row r="56">
      <c r="A56" s="147">
        <f t="shared" si="1"/>
        <v>54</v>
      </c>
      <c r="B56" s="163" t="str">
        <f t="shared" si="2"/>
        <v/>
      </c>
      <c r="C56" s="149"/>
      <c r="D56" s="149"/>
      <c r="E56" s="165" t="s">
        <v>305</v>
      </c>
      <c r="F56" s="147" t="str">
        <f t="shared" si="10"/>
        <v>同上</v>
      </c>
      <c r="G56" s="147" t="s">
        <v>270</v>
      </c>
      <c r="H56" s="175" t="s">
        <v>322</v>
      </c>
      <c r="I56" s="147" t="s">
        <v>278</v>
      </c>
      <c r="J56" s="151" t="s">
        <v>278</v>
      </c>
      <c r="K56" s="173" t="s">
        <v>273</v>
      </c>
      <c r="L56" s="174" t="s">
        <v>274</v>
      </c>
      <c r="M56" s="174" t="s">
        <v>317</v>
      </c>
      <c r="N56" s="154"/>
      <c r="O56" s="155"/>
      <c r="P56" s="154"/>
      <c r="Q56" s="156"/>
      <c r="R56" s="154"/>
      <c r="S56" s="154"/>
      <c r="T56" s="157"/>
      <c r="U56" s="171"/>
      <c r="V56" s="171"/>
      <c r="W56" s="171"/>
      <c r="X56" s="171"/>
      <c r="Y56" s="171"/>
      <c r="Z56" s="171"/>
    </row>
  </sheetData>
  <mergeCells count="40">
    <mergeCell ref="B1:D1"/>
    <mergeCell ref="N1:P1"/>
    <mergeCell ref="Q1:R1"/>
    <mergeCell ref="U1:Z1"/>
    <mergeCell ref="U2:Z2"/>
    <mergeCell ref="U3:Z3"/>
    <mergeCell ref="U4:Z4"/>
    <mergeCell ref="U5:Z5"/>
    <mergeCell ref="U6:Z6"/>
    <mergeCell ref="U7:Z7"/>
    <mergeCell ref="U8:Z8"/>
    <mergeCell ref="U9:Z9"/>
    <mergeCell ref="U10:Z10"/>
    <mergeCell ref="U11:Z11"/>
    <mergeCell ref="U12:Z12"/>
    <mergeCell ref="U13:Z13"/>
    <mergeCell ref="U14:Z14"/>
    <mergeCell ref="U15:Z15"/>
    <mergeCell ref="U16:Z16"/>
    <mergeCell ref="U17:Z17"/>
    <mergeCell ref="U18:Z18"/>
    <mergeCell ref="U19:Z19"/>
    <mergeCell ref="U20:Z20"/>
    <mergeCell ref="U21:Z21"/>
    <mergeCell ref="U22:Z22"/>
    <mergeCell ref="U23:Z23"/>
    <mergeCell ref="U24:Z24"/>
    <mergeCell ref="U25:Z25"/>
    <mergeCell ref="U33:Z33"/>
    <mergeCell ref="U34:Z34"/>
    <mergeCell ref="U35:Z35"/>
    <mergeCell ref="U37:Z37"/>
    <mergeCell ref="U38:Z38"/>
    <mergeCell ref="U26:Z26"/>
    <mergeCell ref="U27:Z27"/>
    <mergeCell ref="U28:Z28"/>
    <mergeCell ref="U29:Z29"/>
    <mergeCell ref="U30:Z30"/>
    <mergeCell ref="U31:Z31"/>
    <mergeCell ref="U32:Z32"/>
  </mergeCells>
  <dataValidations>
    <dataValidation type="list" allowBlank="1" showErrorMessage="1" sqref="G2:G56">
      <formula1>"Normal,Abnormal"</formula1>
    </dataValidation>
    <dataValidation type="list" allowBlank="1" showErrorMessage="1" sqref="K2:K56 N2:N56">
      <formula1>"OK,NG解決,NG,不可,不要,保留,N/A"</formula1>
    </dataValidation>
    <dataValidation type="list" allowBlank="1" showErrorMessage="1" sqref="I1:J56">
      <formula1>"Tham chiếu sheet ""Testcase_common"",Tham chiếu sheet ""Testcase_Meeting-Minutes"",Tham chiếu sheet ""Testcase_White-paper"",同上"</formula1>
    </dataValidation>
  </dataValidations>
  <drawing r:id="rId1"/>
</worksheet>
</file>