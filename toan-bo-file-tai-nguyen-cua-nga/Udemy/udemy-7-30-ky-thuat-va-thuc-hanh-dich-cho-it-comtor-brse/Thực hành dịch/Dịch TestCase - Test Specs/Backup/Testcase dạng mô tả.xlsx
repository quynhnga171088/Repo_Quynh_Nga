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4"/>
    <sheet state="visible" name="Smoke_test" sheetId="2" r:id="rId5"/>
    <sheet state="visible" name="FT" sheetId="3" r:id="rId6"/>
    <sheet state="visible" name="IT" sheetId="4" r:id="rId7"/>
    <sheet state="visible" name="ST" sheetId="5" r:id="rId8"/>
    <sheet state="visible" name="Data" sheetId="6" r:id="rId9"/>
    <sheet state="visible" name="Data_JA" sheetId="7" r:id="rId10"/>
    <sheet state="visible" name="Smoke test_JP" sheetId="8" r:id="rId11"/>
    <sheet state="visible" name="FT_JP" sheetId="9" r:id="rId12"/>
    <sheet state="visible" name="IT_JP" sheetId="10" r:id="rId13"/>
    <sheet state="visible" name="ST_JP" sheetId="11" r:id="rId14"/>
  </sheets>
  <definedNames/>
  <calcPr/>
  <extLst>
    <ext uri="GoogleSheetsCustomDataVersion2">
      <go:sheetsCustomData xmlns:go="http://customooxmlschemas.google.com/" r:id="rId15" roundtripDataChecksum="MFjGq32DFKR092G7iyKX4uZSUJVIwaEofIv1Kc+z8F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
ID#AAABiZOwGTc
    (2025-04-23 02:55:37)
00ADA5は、エメラルド色
	-kensuke sasaki
#01467dは、紺色
	-kensuke sasaki</t>
      </text>
    </comment>
    <comment authorId="0" ref="N6">
      <text>
        <t xml:space="preserve">======
ID#AAABiZOwGRI
    (2025-04-23 02:55:37)
バグ報告済み
iPadだとMicrosoftアカSSOすると無限ループ　トップ画面ぐるぐる巡る
	-kensuke sasaki</t>
      </text>
    </comment>
    <comment authorId="0" ref="F7">
      <text>
        <t xml:space="preserve">======
ID#AAABiZOwGRM
    (2025-04-23 02:55:37)
#FFCC00とは、黄色のこと
	-kensuke sasaki</t>
      </text>
    </comment>
  </commentList>
  <extLst>
    <ext uri="GoogleSheetsCustomDataVersion2">
      <go:sheetsCustomData xmlns:go="http://customooxmlschemas.google.com/" r:id="rId1" roundtripDataSignature="AMtx7mhs7G2LLpK1XZIUvpF8sGmV438jp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78">
      <text>
        <t xml:space="preserve">======
ID#AAABiZOwGTs
    (2025-04-23 02:55:37)
25.4.18藤原
第三層に登録したタグ名が正しく表示されていること。
	-藤原孔明</t>
      </text>
    </comment>
    <comment authorId="0" ref="F21">
      <text>
        <t xml:space="preserve">======
ID#AAABiZOwGTo
    (2025-04-23 02:55:37)
25.4.18藤原
スクーティへアカウント情報の編集が必要なので保留
25.4.21藤原
Windowsのみ、「せんたく中のイラストを見る」アイコンにユーザー名が被って表示されている。
https://drive.google.com/file/d/1GTiV3_HDaca6wp9LeY3SGu_vr98wiEeu/view?usp=sharing
・文字の表示範囲
iPAD:9文字まで
Chrome:17文字まで
Windows:18文字まで
	-藤原孔明</t>
      </text>
    </comment>
    <comment authorId="0" ref="D16">
      <text>
        <t xml:space="preserve">======
ID#AAABiZOwGTk
    (2025-04-23 02:55:37)
スライド:23p(レスポンシブ表示の確認)
	-藤原孔明</t>
      </text>
    </comment>
    <comment authorId="0" ref="E137">
      <text>
        <t xml:space="preserve">======
ID#AAABiZOwGTg
    (2025-04-23 02:55:37)
国語2番目と学年1年生で第三層10個以上
	-kensuke sasaki</t>
      </text>
    </comment>
    <comment authorId="0" ref="D78">
      <text>
        <t xml:space="preserve">======
ID#AAABiZOwGRY
    (2025-04-23 02:55:37)
25.4.18藤原
第三層のタグの文字数は、表示できるまで表示できる。
	-藤原孔明</t>
      </text>
    </comment>
    <comment authorId="0" ref="F72">
      <text>
        <t xml:space="preserve">======
ID#AAABiZOwGTY
    (2025-04-23 02:55:37)
25.4.18藤原
#00ADA5はエメラルドグリーン
	-藤原孔明</t>
      </text>
    </comment>
    <comment authorId="0" ref="D165">
      <text>
        <t xml:space="preserve">======
ID#AAABiZOwGRU
    (2025-04-23 02:55:37)
第1層：「9番目の国語」
第2層：「国語」
は10文字ジャストなのか、10文字以上なのか不明
	-kensuke sasaki</t>
      </text>
    </comment>
    <comment authorId="0" ref="D171">
      <text>
        <t xml:space="preserve">======
ID#AAABiZOwGRQ
    (2025-04-23 02:55:37)
あまのはおうみことな　のやつ
	-kensuke sasaki</t>
      </text>
    </comment>
    <comment authorId="0" ref="D29">
      <text>
        <t xml:space="preserve">======
ID#AAABiZOwGRA
    (2025-04-23 02:55:37)
レスポンシブ表示（画面分割表示）のこと。
	-藤原孔明</t>
      </text>
    </comment>
    <comment authorId="0" ref="F35">
      <text>
        <t xml:space="preserve">======
ID#AAABiZOwGRE
    (2025-04-23 02:55:37)
25.4.21藤原
#FFCC00は黄色
	-藤原孔明</t>
      </text>
    </comment>
    <comment authorId="0" ref="D160">
      <text>
        <t xml:space="preserve">======
ID#AAABiZOwGQ8
    (2025-04-23 02:55:37)
第一層：「9番目の国語」は10文字ジャストなのか、10文字以上なのか不明
	-kensuke sasaki</t>
      </text>
    </comment>
    <comment authorId="0" ref="E80">
      <text>
        <t xml:space="preserve">======
ID#AAABiZOwGQ4
    (2025-04-23 02:55:37)
25.4.18藤原
おそらく翻訳ミス。
第三層までの表示を確認し、一層目のタグを再度押下する。
	-藤原孔明</t>
      </text>
    </comment>
    <comment authorId="0" ref="A133">
      <text>
        <t xml:space="preserve">======
ID#AAABiZOwGQ0
    (2025-04-23 02:55:37)
第2層に18個以上のタグを登録してもらわないと不可能
	-kensuke sasaki</t>
      </text>
    </comment>
    <comment authorId="0" ref="D158">
      <text>
        <t xml:space="preserve">======
ID#AAABiZOwGQw
    (2025-04-23 02:55:37)
国語9番目で第二層国語
	-kensuke sasaki</t>
      </text>
    </comment>
  </commentList>
  <extLst>
    <ext uri="GoogleSheetsCustomDataVersion2">
      <go:sheetsCustomData xmlns:go="http://customooxmlschemas.google.com/" r:id="rId1" roundtripDataSignature="AMtx7mhPEpGnDGFqnwCyok3cPUPMdbweQw=="/>
    </ext>
  </extLst>
</comments>
</file>

<file path=xl/sharedStrings.xml><?xml version="1.0" encoding="utf-8"?>
<sst xmlns="http://schemas.openxmlformats.org/spreadsheetml/2006/main" count="3161" uniqueCount="672">
  <si>
    <t>TESTCASE</t>
  </si>
  <si>
    <t>Project Name:</t>
  </si>
  <si>
    <t>Emile app _ user screen</t>
  </si>
  <si>
    <t>Creator:</t>
  </si>
  <si>
    <t>ThuyNTP</t>
  </si>
  <si>
    <t>Phase:</t>
  </si>
  <si>
    <t>Phase 02</t>
  </si>
  <si>
    <t>Create Date:</t>
  </si>
  <si>
    <t>Time boxing:</t>
  </si>
  <si>
    <t>Reviewer/Approver:</t>
  </si>
  <si>
    <t>Version:</t>
  </si>
  <si>
    <t>1.0</t>
  </si>
  <si>
    <t>Review date:</t>
  </si>
  <si>
    <t>Record of change:</t>
  </si>
  <si>
    <r>
      <rPr>
        <rFont val="Times New Roman"/>
        <color theme="1"/>
        <sz val="12.0"/>
      </rPr>
      <t xml:space="preserve"> </t>
    </r>
    <r>
      <rPr>
        <rFont val="Times New Roman"/>
        <color rgb="FFFF0000"/>
        <sz val="12.0"/>
      </rPr>
      <t>(</t>
    </r>
    <r>
      <rPr>
        <rFont val="Times New Roman"/>
        <color theme="1"/>
        <sz val="12.0"/>
      </rPr>
      <t>*) A (Add), M (Modify), D (Delete)</t>
    </r>
  </si>
  <si>
    <t>Effective Date</t>
  </si>
  <si>
    <t>Version</t>
  </si>
  <si>
    <t>Change Description</t>
  </si>
  <si>
    <r>
      <rPr>
        <rFont val="Times New Roman"/>
        <b/>
        <color theme="0"/>
        <sz val="12.0"/>
      </rPr>
      <t>A, D, M (</t>
    </r>
    <r>
      <rPr>
        <rFont val="Times New Roman"/>
        <b/>
        <color rgb="FFFF0000"/>
        <sz val="12.0"/>
      </rPr>
      <t>*</t>
    </r>
    <r>
      <rPr>
        <rFont val="Times New Roman"/>
        <b/>
        <color theme="0"/>
        <sz val="12.0"/>
      </rPr>
      <t>)</t>
    </r>
  </si>
  <si>
    <t>Change item</t>
  </si>
  <si>
    <t>Reference</t>
  </si>
  <si>
    <t>Note</t>
  </si>
  <si>
    <t>Screen/function</t>
  </si>
  <si>
    <t>Smoke test</t>
  </si>
  <si>
    <t>Testcase_ID</t>
  </si>
  <si>
    <t>Testcase Title</t>
  </si>
  <si>
    <t>Testcase Description</t>
  </si>
  <si>
    <t>Testcase Pre-condition</t>
  </si>
  <si>
    <t>Testcase Steps</t>
  </si>
  <si>
    <t>Expected result</t>
  </si>
  <si>
    <t>Priority</t>
  </si>
  <si>
    <t>Role</t>
  </si>
  <si>
    <t>Device</t>
  </si>
  <si>
    <t>Bug ID</t>
  </si>
  <si>
    <t>Teacher</t>
  </si>
  <si>
    <t>Student</t>
  </si>
  <si>
    <t>Y/N</t>
  </si>
  <si>
    <t>Result</t>
  </si>
  <si>
    <t>Microsoft Edge(ASUS)</t>
  </si>
  <si>
    <t>Chrome(Chromebook)</t>
  </si>
  <si>
    <t>Safari(iPad)</t>
  </si>
  <si>
    <t>Thành công/thất bại theo google</t>
  </si>
  <si>
    <t>Kiểm tra login thành công/thất bại theo google</t>
  </si>
  <si>
    <t>1. Vào màn hình login
2. Click vào button google
3. Vào màn hình chọn đối tượng , chọn địa chỉ email chưa đăng ký trong hệ thống
4. Kiểm tra kết quả 
5. Click lại vào button google
6. Vào màn hình chọn đối tượng , chọn địa chỉ email đã đăng ký hợp lệ trong hệ thống
7. Kiểm tra kết quả
8. Kiểm tra UI màn hình list digital tool</t>
  </si>
  <si>
    <t>2. Mở màn hình đăng nhập của bên thứ 3 , hiển thị tên trang web bạn sẽ truy cập
4. Hiển thị message lỗi: 
ログインに失敗しました。 
再度ログインするか学校管理者にお問い合わせください
5. Mở màn hình đăng nhập của bên thứ 3 , hiển thị tên trang web bạn sẽ truy cập
7. Login thành công vào màn hình list digital tool
8. Hiển thị UI như design, không bị xô lệch</t>
  </si>
  <si>
    <t>High</t>
  </si>
  <si>
    <t>●</t>
  </si>
  <si>
    <t>Thành công/thất bại theo microsoft</t>
  </si>
  <si>
    <t>Kiểm tra login thành công/thất bại theo microsoft</t>
  </si>
  <si>
    <t>1. Vào màn hình login
2. Click vào button microsoft
3. Vào màn hình chọn đối tượng , chọn địa chỉ email chưa đăng ký trong hệ thống
4. Kiểm tra kết quả 
5. Click lại vào button microsoft
6. Vào màn hình chọn đối tượng , chọn địa chỉ email đã đăng ký hợp lệ trong hệ thống
7. Kiểm tra kết quả
8. Kiểm tra UI màn hình list digital tool</t>
  </si>
  <si>
    <t>Phóng to/thu nhỏ, chọn digital tool</t>
  </si>
  <si>
    <t>Kiểm tra chọn digital tool</t>
  </si>
  <si>
    <t xml:space="preserve">1. Vào màn hình list digital tool 
2. Kiểm tra hiển thị list digital tool 
3. Click vào button phóng to digital tool =&gt; Kiểm tra hiển thị
4. Click button thu nhỏ digital tool =&gt; kiểm tra hiển thị 
5. Click chọn 5 digital tool =&gt; kiểm tra hiển thị  
6. Click button せんたく中のイラストを見る=&gt; kiểm tra hiển thị
7. Click x ở màn hình せんたく中のイラスト, Click chọn thêm 16 digital tool =&gt; kiểm tra hiển thị
8. Click button せんたく中のイラストを見る=&gt; kiểm tra hiển thị
9. Click vào xóa digital tool ở vị trí số 20 =&gt; kiểm tra hiển thị
10. Click vào xóa digital tool ở vị trí số 4=&gt; kiểm tra hiển thị
11. Click x ở màn hình せんたく中のイラスト, kiểm tra hiển thị 2 digital tool bị xóa ở step 9,10
</t>
  </si>
  <si>
    <t xml:space="preserve">2. Hiển thị số lượng tùy theo device :
Asus/chromebook/Ipad : 10x3
Ipad /Asus/chrombook thu nhỏ : 6x3
3. Phóng to ảnh digital tool 
4. Thu nhỏ ảnh digital tool
5. 5 ảnh được chọn hiển thị background #FFCC00 
6. Mở modal せんたく中のイラスト, Hiển thị 5 ảnh ở vị trí số 1 đến 5 theo thứ tự click ảnh 
7. 15 ảnh được chọn đầu tiên sẽ hiển thị background #FFCC00, ảnh thứ 16 sẽ không thể chọn
8. Mở modal せんたく中のイラスト, hiển thị đủ 20 ảnh digital tool ở 20 vị trí 
9. Digital tool ở vị trí số 20 bị xóa 
10. Digital tool ở vị trí số 4 bị xóa, các digital tool phía sau nó sẽ dồn lên
11. 2 digital tool bị bỏ chọn, mất background #FFCC00 </t>
  </si>
  <si>
    <t>Chọn tag category/教科・学年</t>
  </si>
  <si>
    <t>Kiểm tra chọn tag</t>
  </si>
  <si>
    <t xml:space="preserve">1. Vào màn hình list digital tool
2. Click vào dropdown 絵の しゅるい
3. Click chọn tag level 1=&gt; kiểm tra hiển thị 
4. Click chọn tag level 2=&gt; Kiểm tra hiển thị 
5. Click chọn tag level 3 =&gt; kiểm tra hiển thị 
6. Click chọn tag level 4 =&gt; Kiểm tra hiển thị 
7. Click vào dropdown 絵の しゅるい=&gt; Kiểm tra hiển thị 
8. Click lại vào dropdown 絵の しゅるい=&gt; Kiểm tra hiển thị 
9. Click ra ngoài vùng hiển thị tag -&gt; Click vào dropdown 学年・教科=&gt; Kiểm tra hiển thị 
10. Thực hiện lại step 3,4,5,6=&gt; Kiểm tra hiển thị 
11. Click ra ngoài vùng hiển thị list tag =&gt; Kiểm tra hiển thị 
12. Click vào dropdown 学年・教科=&gt; Kiểm tra hiển thị 
</t>
  </si>
  <si>
    <t>2. Mở list tag theo category 
3. Tag được chọn hiển thị background #FFCC00, hiển thị list tag level 2 thuộc tag level 1 được chọn 
4. Tag được chọn hiển thị background #FFCC00, hiển thị list tag level 3 thuộc tag level 2 được chọn
5.  Tag được chọn hiển thị background #FFCC00, hiển thị list tag level 4 thuộc tag level 3 được chọn
6.  Tag được chọn hiển thị background #FFCC00
7. Đóng list tag theo category 
8. Mở lại list tag theo category, trở về trạng thái ban đầu lúc chưa chọn tag level 1
9. Mở list tag theo [教科・学年] 
10. Output tương tự các case 3,4,5,6 đối với list tag của [教科・学年] 
11. Đóng list tag của [教科・学年] 
12. Mở lại list tag theo [教科・学年], trở về trạng thái ban đầu lúc chưa chọn tag level 1</t>
  </si>
  <si>
    <t>Search theo keyword</t>
  </si>
  <si>
    <t>Kiểm tra search theo keyword</t>
  </si>
  <si>
    <t>1. Tạo digital tool của category có tên là ゆきだま
2. Tạo digital tool của [教科・学年] có tên là ごむだま
3. Đăng ký keyword cho digital tool của category là 雪玉
4. Đăng ký keyword cho digital tool của [教科・学年] là ゴム玉</t>
  </si>
  <si>
    <t>1. Vào màn hình list digital tool
2. Nhập vào từ khóa だま, click button さがす=&gt; Kiểm tra kết quả search
3. Thay từ khóa ở step 2 bằng từ khóa ゆきだま, click button さがす=&gt; Kiểm tra kết quả search
4. Xóa từ khóa vừa search ở step 4, click button さがす=&gt; Kiểm tra kết quả search
5. Nhập vào từ khóa 玉, click button さがす=&gt; Kiểm tra kết quả search
6. Thay từ khóa ở step 3 bằng từ khóa ゴム玉, click button さがす=&gt; Kiểm tra kết quả search</t>
  </si>
  <si>
    <t>2. Hiển thị digital tool của cả category và [教科・学年] 
3. Chỉ hiển thị digital tool của category 
4. Hiển thị tất cả digital tool như ban đầu 
5. Hiển thị digital tool của cả category và [教科・学年] 
6. Chỉ hiển thị digital tool của [教科・学年]</t>
  </si>
  <si>
    <t>Search theo category</t>
  </si>
  <si>
    <t>Kiểm tra search theo category</t>
  </si>
  <si>
    <t>1. Vào màn hình list digital tool
2. Click vào dropdown 絵の しゅるい
3. Click button さがす=&gt; kiểm tra hiển thị 
4.  Click vào biểu tượng emile,Click vào dropdown 絵の しゅるい
5.  Chọn tag level 1=&gt;Click button さがす, kiểm tra hiển thị 
6. Click vào biểu tượng emile,Click vào dropdown 絵の しゅるい
7. Chọn tag level 1,2=&gt; Click button さがす=&gt; kiểm tra hiển thị 
8. Click vào tên tag level 1 ở breadscrumb =&gt; kiểm tra hiển thị
9. Click vào biểu tượng emile,Click vào dropdown 絵の しゅるい 
10. Chọn tag level 1,2,3=&gt; Click button さがす=&gt; kiểm tra hiển thị 
11. Click vào tên tag level 2 ở breadscrumb 
12. Click vào biểu tượng emile, Click vào dropdown 絵の しゅるい 
13. Chọn tag level 1,2,3,4=&gt; Click button さがす=&gt; kiểm tra hiển thị 
14. Click vào tên tag level 3 ở breadscrumb =&gt; Kiểm tra hiển thị</t>
  </si>
  <si>
    <t>3. Mở màn hình kết quả tìm kiếm với list data là tất cả digital tool thuộc category 
5. Mở màn hình kết quả tìm kiếm với list data là các digital tool thuộc tag level 1
7. Mở màn hình kết quả tìm kiếm với list data là các digital tool thuộc tag level 2
8. Output giống step 1
10. Mở màn hình kết quả tìm kiếm với list data là các digital tool thuộc tag level 3
11. Output giống step 6
13. Mở màn hình kết quả tìm kiếm với list data là các digital tool thuộc tag level 4
14. Output giống step 9</t>
  </si>
  <si>
    <t>Search theo [教科・学年]</t>
  </si>
  <si>
    <t>Kiểm tra search theo [教科・学年]</t>
  </si>
  <si>
    <t>1. Vào màn hình list digital tool
2. Click vào dropdown 学年・教科
3. Click button さがす=&gt; kiểm tra hiển thị 
4. Click biểu tượng emile , Click vào dropdown 学年・教科
5. Chọn tag level 1=&gt;Click button さがす, kiểm tra hiển thị 
6. Click vào biểu tượng emile,Click vào dropdown 学年・教科
7. Chọn tag level 1,2=&gt; Click button さがす=&gt; kiểm tra hiển thị 
8. Click vào biểu tượng emile, Click vào dropdown 学年・教科 
9. Chọn tag level 1,2,3,4=&gt; Click button さがす=&gt; kiểm tra hiển thị 
10. Click vào tên tag level 3 ở breadscrumb =&gt; Kiểm tra hiển thị
11.Click vào tên tag level 1 ở breadscrumb =&gt; Kiểm tra hiển thị
12. Click button phóng to rồi click thu nhỏ digital tool =&gt; kiểm tra hiển thị
13. Click chọn 4 digital tool =&gt; kiểm tra hiển thị
14. Click chọn lại 1 digital tool đã chọn ở step 13=&gt; kiểm tra hiển thị
15. Click button せんたく中のイラストを見る=&gt; kiểm tra hiển thị
16. Click xóa 1 digital tool ở vị trí số 1=&gt; kiểm tra hiển thị
17. Click x ở màn hình せんたく中のイラスト</t>
  </si>
  <si>
    <t>3. Mở màn hình kết quả tìm kiếm với list data là tất cả digital tool thuộc category 
5. Mở màn hình kết quả tìm kiếm với list data là các digital tool thuộc tag level 1
7. Mở màn hình kết quả tìm kiếm với list data là các digital tool thuộc tag level 2
9. Mở màn hình kết quả tìm kiếm với list data là các digital tool thuộc tag level 4
10. Mở màn hình kết quả tìm kiếm với list data là các digital tool thuộc tag level 3
11. Output giống step 5
12. Phóng to hình ảnh digital tool =&gt; sau đó thu nhỏ hình ảnh về ban đầu 
13. 4 digital tool được chọn, hiển thị background #FFCC00 
14. Digital tool được chọn bị mất background #FFCC00 
15. Mở modal せんたく中のイラスト, hiển thị 3 digital tool ở 3 vị trí 1,2,3 
16. Digital tool ở vị trí 1 bị xóa, 2 digital tool sau sẽ dồn lên vị trí 1,2
17. Đóng modal せんたく中のイラスト</t>
  </si>
  <si>
    <t>Download</t>
  </si>
  <si>
    <t>Kiểm tra download ảnh</t>
  </si>
  <si>
    <t>1. Vào màn hình list digital tool
2. Chưa chọn digital tool nào =&gt; Kiểm tra hiển thị button download 
3. Click chọn 1 digital tool =&gt; Kiểm tra hiển thị button download 
4. Click button download 1 digital tool đã chọn =&gt; Kiểm tra hiển thị digital tool sau khi down thành công
5. Mở folder, kiểm tra tên tệp và định dạng tệp
6. Mở lại hệ thống , click chọn 20 ảnh digital tool, click button download 
7. Kiểm tra digital tool đã chọn sau khi down thành công 
8. Mở folder, kiểm tra số lượng ảnh down về, tên tệp và định dạng tệp</t>
  </si>
  <si>
    <t>2. Button download bị disbale 
3. Button download enble
4. Down digital đã chọn thành công, sau khi down thì bỏ chọn digital tool đó trên màn hình  
5. Tên tệp là tên ảnh , định dạng tệp là định dạng tương ứng bên admin upload
6. Download 20 ảnh digital tool 
7. Sau khi donwload thì bỏ chọn tất cả digital tool đã down 
8. Down đủ 20 ảnh, tên và định dạng tương ứng với ảnh ở bên admin</t>
  </si>
  <si>
    <t>FT</t>
  </si>
  <si>
    <t>\\\\</t>
  </si>
  <si>
    <t xml:space="preserve">Result </t>
  </si>
  <si>
    <t>Login</t>
  </si>
  <si>
    <t>UI</t>
  </si>
  <si>
    <t>Kiểm tra UI</t>
  </si>
  <si>
    <t>1. Vào màn hình Login
2. Kiểm tra UI</t>
  </si>
  <si>
    <r>
      <rPr>
        <rFont val="Times New Roman"/>
        <sz val="11.0"/>
      </rPr>
      <t xml:space="preserve">2. Màn hình hiển thị như design: </t>
    </r>
    <r>
      <rPr>
        <rFont val="Times New Roman"/>
        <color rgb="FF1155CC"/>
        <sz val="11.0"/>
        <u/>
      </rPr>
      <t>https://docs.google.com/presentation/d/1uIXz_fgthWJZ-wI9hncMjBFuUkY5cvgzLVYgvmFzVv4/edit?slide=id.g33b0c0e04ef_0_9#slide=id.g33b0c0e04ef_0_9</t>
    </r>
  </si>
  <si>
    <t>Login thất bại</t>
  </si>
  <si>
    <t xml:space="preserve">Login bằng google với email người dùng chưa được đăng ký </t>
  </si>
  <si>
    <t>1. Tài khoản chưa đăng ký 
2. Email bị xóa/ hết hạn ở amdin ( chưa có specs)</t>
  </si>
  <si>
    <t>1. Vào màn hình Login
2. Click vào button google 
3. Ở màn hình đối tượng, chọn email chưa được đăng ký trong hệ thống</t>
  </si>
  <si>
    <t>3. Hiển thị message lỗi: 
ログインに失敗しました。 
再度ログインするか学校管理者にお問い合わせください</t>
  </si>
  <si>
    <t>Login bằng microsoft với email người dùng chưa được đăng ký</t>
  </si>
  <si>
    <t>1. Vào màn hình Login
2. Click vào button microsoft
3. Ở màn hình đối tượng, chọn email chưa được đăng ký trong hệ thống</t>
  </si>
  <si>
    <t>Login thành công</t>
  </si>
  <si>
    <t>Login bằng google với email người dùng đã được đăng ký</t>
  </si>
  <si>
    <t>1. Vào màn hình Login
2. Click vào button google =&gt; Kiểm tra hiển thị
3. Ở màn hình đối tượng, chọn email đã được đăng ký trong hệ thống</t>
  </si>
  <si>
    <t>2. Màn hình hiển thị tên trang web đang truy cập và email lựa chọn
3. Login thành công và điều hướng vào màn hình list digital tool</t>
  </si>
  <si>
    <t>Login bằng microsoft với email người dùng đã được đăng ký</t>
  </si>
  <si>
    <t xml:space="preserve"> c</t>
  </si>
  <si>
    <t>Kiểm tra login tài khoản trên 2 thiết bị</t>
  </si>
  <si>
    <t>[Sử dụng chromebook]
1. Login thành công 
[Sử dụng asus] 
2. Login thành công với tài khoản đã login ở chromebook</t>
  </si>
  <si>
    <t>2. Ở chromebook sẽ bị logout</t>
  </si>
  <si>
    <t>Kiểm tra khi login 1 tài khoản trên 2 trình duyệt của cùng 1 thiết bị</t>
  </si>
  <si>
    <t>1. Mở chrome, login thành công
2. Mở Microsoft Edge, login thành công với tài khoản đã login ở chrome trong step 1</t>
  </si>
  <si>
    <t>2. Ở chrome sẽ bị logout</t>
  </si>
  <si>
    <t>Medium</t>
  </si>
  <si>
    <t>Danh sách list digital tool</t>
  </si>
  <si>
    <t>Kiểm tra hiển thị màn hình</t>
  </si>
  <si>
    <t>Khi chưa click chọn digital tool nào</t>
  </si>
  <si>
    <t>1. Vào màn hình list digital tool
2. Kiểm tra hiển thị màn hình</t>
  </si>
  <si>
    <r>
      <rPr>
        <rFont val="Times New Roman"/>
        <sz val="11.0"/>
      </rPr>
      <t xml:space="preserve">2. Màn hình hiển thị như design : </t>
    </r>
    <r>
      <rPr>
        <rFont val="Times New Roman"/>
        <color rgb="FF1155CC"/>
        <sz val="11.0"/>
        <u/>
      </rPr>
      <t xml:space="preserve">https://docs.google.com/presentation/d/1uIXz_fgthWJZ-wI9hncMjBFuUkY5cvgzLVYgvmFzVv4/edit?slide=id.g33b0341dd9c_0_51#slide=id.g33b0341dd9c_0_51
</t>
    </r>
    <r>
      <rPr>
        <rFont val="Times New Roman"/>
        <sz val="11.0"/>
      </rPr>
      <t xml:space="preserve">Buttton download disbale </t>
    </r>
  </si>
  <si>
    <t xml:space="preserve">Khi đã chọn ít nhất 1 digital tool </t>
  </si>
  <si>
    <r>
      <rPr>
        <rFont val="Times New Roman"/>
        <sz val="11.0"/>
      </rPr>
      <t xml:space="preserve">2. Màn hình hiển thị như design : </t>
    </r>
    <r>
      <rPr>
        <rFont val="Times New Roman"/>
        <color rgb="FF1155CC"/>
        <sz val="11.0"/>
        <u/>
      </rPr>
      <t xml:space="preserve">https://docs.google.com/presentation/d/1uIXz_fgthWJZ-wI9hncMjBFuUkY5cvgzLVYgvmFzVv4/edit?slide=id.g33b0341dd9c_0_51#slide=id.g33b0341dd9c_0_51
</t>
    </r>
    <r>
      <rPr>
        <rFont val="Times New Roman"/>
        <sz val="11.0"/>
      </rPr>
      <t>Buttton download enable</t>
    </r>
  </si>
  <si>
    <t>Khi thay đổi response</t>
  </si>
  <si>
    <r>
      <rPr>
        <rFont val="Times New Roman"/>
        <sz val="11.0"/>
      </rPr>
      <t xml:space="preserve">2. Màn hình hiển thị như design : </t>
    </r>
    <r>
      <rPr>
        <rFont val="Times New Roman"/>
        <color rgb="FF1155CC"/>
        <sz val="11.0"/>
        <u/>
      </rPr>
      <t>https://docs.google.com/presentation/d/1XpWbu-bA2yL_-K629zZp4dKmsWBh1WD2/edit?slide=id.p22#slide=id.p22</t>
    </r>
  </si>
  <si>
    <t>Kiểm tra button せんたく中の
イラストを見る</t>
  </si>
  <si>
    <t>Chưa chọn digital tool nào</t>
  </si>
  <si>
    <t>1. Vào màn hình list digital tool
2. Click vào button せんたく中の
イラストを見る</t>
  </si>
  <si>
    <t>2. Hiển thị modal chứa digital tool được chọn : Modal không chứa digital tool nào</t>
  </si>
  <si>
    <t>Kiểm tra click vào dropdown 絵の しゅるい</t>
  </si>
  <si>
    <t>1. Vào màn hình list digital tool
2. Click vào dropdown 絵の しゅるい</t>
  </si>
  <si>
    <t xml:space="preserve">2. Hiển thị list tag theo category: Design như UI
</t>
  </si>
  <si>
    <t>Kiểm tra click vào dropdown 学年・教科</t>
  </si>
  <si>
    <t>1. Vào màn hình list digital tool
2. Click vào dropdown 学年・教科</t>
  </si>
  <si>
    <t xml:space="preserve">2. Mở list tag theo [教科・学年]: Design như UI
</t>
  </si>
  <si>
    <t>Thông tin avatar</t>
  </si>
  <si>
    <t>Kiểm tra hiển thị thông tin người dùng</t>
  </si>
  <si>
    <t>Login bằng account có tên &lt;= số ký tự tối đa có thể hiển thị</t>
  </si>
  <si>
    <t>1. Vào màn hình list digital tool
2. Kiểm tra hiển thị thông tin người dùng
3. Hover chuột vào tên người dùng=&gt; Kiểm tra hiển thị tooltip</t>
  </si>
  <si>
    <t>2. Hiển thị avatar 
    Tên đầy đủ của user
3. Hiển thị tooltip tên đầy đủ của user+ さん</t>
  </si>
  <si>
    <t>Login bằng account có tên &gt; số ký tự tối đa có thể hiển thị</t>
  </si>
  <si>
    <t>2. Hiển thị avatar 
    Tên user: Hiển thị tối đa số ký tự và ...
3. Hiển thị tooltip tên đầy đủ của user+さん</t>
  </si>
  <si>
    <t xml:space="preserve">Kiểm tra click vào avatar </t>
  </si>
  <si>
    <t>1. Vào màn hình list digital tool
2. Click vào avatar
3. Kiểm tra hiển thị</t>
  </si>
  <si>
    <t>3. Hiển thị menu : email đầy đủ của user và button logout</t>
  </si>
  <si>
    <t>1. Vào màn hình list digital tool
2. Click vào avatar
3. Click lại vào avatar</t>
  </si>
  <si>
    <t>3. Đóng menu hiển thị</t>
  </si>
  <si>
    <t>1. Vào màn hình list digital tool
2. Click vào avatar
3. Click vào bên ngoài vùng hiển thị menu</t>
  </si>
  <si>
    <t>Kiểm tra click vào button ログアウト</t>
  </si>
  <si>
    <t>1. Vào màn hình list digital tool
2. Click vào avatar
3. Click vào button logout
4. Click vào button Cancel</t>
  </si>
  <si>
    <t>3. Hiển thị popup confirm : 
このアカウントからログアウト 
してもよろしいでしょうか？
2 button キャンセル và はい
4. Đóng popup confirm và vẫn hiển thị màn hình list digital tool</t>
  </si>
  <si>
    <t>1. Vào màn hình list digital tool
2. Click vào avatar
3. Click vào button logout
4. Click vào ngoài vùng menu</t>
  </si>
  <si>
    <t>1. Vào màn hình list digital tool
2. Click vào avatar
3. Click vào button logout
4. Click vào button Yes</t>
  </si>
  <si>
    <t>3. Hiển thị popup confirm : 
このアカウントからログアウト 
してもよろしいでしょうか？
2 button キャンセル và はい
4. Logout ra màn hình login</t>
  </si>
  <si>
    <t>List data</t>
  </si>
  <si>
    <t>Kiểm tra list hiển thị</t>
  </si>
  <si>
    <t>1. Vào màn hình list digital tool
2. Kiểm tra hiển thị list data digital tool</t>
  </si>
  <si>
    <t>2. Hiển thị list data với số lượng 10x3 : bao gồm digital tool của category và [教科・学年]</t>
  </si>
  <si>
    <t>Khi thu nhỏ response</t>
  </si>
  <si>
    <t>1. Vào màn hình list digital tool
2. Thu nhỏ response 
3. Kiểm tra hiển thị list data digital tool</t>
  </si>
  <si>
    <t>3. Hiển thị list data với số lượng 6x3 : bao gồm digital tool của category và [教科・学年]</t>
  </si>
  <si>
    <t>Kiểm tra thông tin digital tool</t>
  </si>
  <si>
    <t>1. Vào màn hình list digital tool
2. Kiểm tra thông tin 1 digital tool có tên nằm trong khung hiển thị digital tool</t>
  </si>
  <si>
    <t>2. Hiển thị ảnh fit trong khung ảnh đến giới hạn hiển thị
    Hiển thị tên đầy đủ của digital tool</t>
  </si>
  <si>
    <t>1. Vào màn hình list digital tool
2. Kiểm tra thông tin 1 digital tool có tên nằm ngoài khung hiển thị digital tool</t>
  </si>
  <si>
    <t>2. Hiển thị ảnh fit trong khung ảnh đến giới hạn hiển thị
    Hiển thị tên đến giới hạn khung digital tool, còn lại thì cắt đi</t>
  </si>
  <si>
    <t>Kiểm tra click vào phóng to digital tool</t>
  </si>
  <si>
    <t>1. Vào màn hình list digital tool
2. Click vào button phóng to ở digital tool</t>
  </si>
  <si>
    <t>2. Hiển thị popup phóng to digital tool vừa chọn phóng to: Hiển thị đủ ảnh và tên digital tool</t>
  </si>
  <si>
    <t>Kiểm tra đóng popup phóng to digital tool</t>
  </si>
  <si>
    <t>1. Vào màn hình list digital tool
2. Click vào button phóng to ở digital tool
3. Click vào button phóng to ở popup digital tool</t>
  </si>
  <si>
    <t>3. Đóng popup phóng to của digital tool</t>
  </si>
  <si>
    <t>1. Vào màn hình list digital tool
2. Click vào button phóng to ở digital tool
3. Click vào vùng ngoài popup digital tool</t>
  </si>
  <si>
    <t>Kiểm tra khi click chọn/ bỏ chọn vào digital tool</t>
  </si>
  <si>
    <t>1. Vào màn hình list digital tool
2. Click vào chọn digital tool
3. Click vào digital tool ở step2</t>
  </si>
  <si>
    <t>2. Digital tool được chọn sẽ hiển thị màu #FFCC00 ở background quanh ảnh 
3. Digital tool sẽ mất background #FFCC00 và hiển thị màu nền trắng như ban đầu</t>
  </si>
  <si>
    <t>List digital đã được chọn</t>
  </si>
  <si>
    <t>Kiểm tra khi đã chọn digital tool</t>
  </si>
  <si>
    <t>1. Vào màn hình list digital tool
2. Click vào chọn 1 digital tool
3. Click vào button せんたく中のイラストを見る</t>
  </si>
  <si>
    <t>2. Digital tool được chọn sẽ hiển thị màu #FFCC00 ở background quanh ảnh 
3. Hiển thị modal chứa digital tool được chọn: 1 digital tool ở vị trí số 1. 
Nếu digital tool được chọn có thể nhìn thấy ở màn hình dưới modal thì digital tool cũng sẽ hiển thị giống step2</t>
  </si>
  <si>
    <t>1. Vào màn hình list digital tool
2. Click vào chọn 20 digital tool
3. Click vào button せんたく中のイラストを見る</t>
  </si>
  <si>
    <t>2. Digital tool được chọn sẽ hiển thị màu vàng ở background quanh ảnh 
3. Hiển thị modal chứa digital tool được chọn: 20 digital tool ở vị trí từ số 1 đến 20. 
Nếu digital tool được chọn có thể nhìn thấy ở màn hình dưới modal thì digital tool cũng sẽ hiển thị giống step2</t>
  </si>
  <si>
    <t>1. Vào màn hình list digital tool
2. Click vào chọn 21 digital tool
3. Click vào button せんたく中のイラストを見る</t>
  </si>
  <si>
    <t>2. Digital tool thứ 21 sẽ không thể được chọn
3. Hiển thị modal chứa digital tool được chọn: 20 digital tool ở vị trí từ số 1 đến 20.
Nếu digital tool được chọn có thể nhìn thấy ở màn hình dưới modal thì digital tool cũng sẽ hiển thị giống step2</t>
  </si>
  <si>
    <t>Kiểm tra khi click xóa 1 digital tool</t>
  </si>
  <si>
    <t>Đang có 1 digital tool được chọn</t>
  </si>
  <si>
    <t>1. Vào màn hình list digital tool
2. Click vào chọn 1 digital tool
3. Click vào button せんたく中のイラストを見る
4. Click vào button xóa ở digital tool số 1</t>
  </si>
  <si>
    <t>4. Trên modal chứa digital tool được chọn sẽ không còn digital tool nào.
Nếu digital tool được chọn có thể nhìn thấy ở màn hình dưới modal thì sẽ mất màu vàng ở background</t>
  </si>
  <si>
    <t>Đang có 20 digital tool được chọn</t>
  </si>
  <si>
    <t>1. Vào màn hình list digital tool
2. Click vào chọn 1 digital tool
3. Click vào button せんたく中のイラストを見る
4. Click vào button xóa ở digital tool số 8</t>
  </si>
  <si>
    <t>4. Trên modal chứa digital tool được chọn: Chỉ còn 19 digital tool, các digital tool từ số 9 đến 20 cũ sẽ được dồn lại , vị trí số 20 sẽ trống
Nếu digital tool được chọn có thể nhìn thấy ở màn hình dưới modal thì sẽ mất màu vàng ở background</t>
  </si>
  <si>
    <t>1. Vào màn hình list digital tool
2. Click vào chọn 1 digital tool
3. Click vào button せんたく中のイラストを見る
4. Click vào button xóa ở digital tool số 20</t>
  </si>
  <si>
    <t>4. Trên modal chứa digital tool được chọn: Chỉ còn 19 digital tool, vị trí số 20 sẽ trống do đã xóa.
Nếu digital tool được chọn có thể nhìn thấy ở màn hình dưới modal thì sẽ mất màu vàng ở background</t>
  </si>
  <si>
    <t>Kiểm tra click button x trên modal</t>
  </si>
  <si>
    <t>1. Vào màn hình list digital tool
2. Click vào chọn 1 digital tool
3. Click vào button せんたく中のイラストを見る
4. Click vào button x ở góc phải modal</t>
  </si>
  <si>
    <t>4. Đóng modal, list digital được chọn không thay đổi</t>
  </si>
  <si>
    <t>Kiểm tra click ngoài vùng hiển thị danh sách</t>
  </si>
  <si>
    <t>1. Vào màn hình list digital tool
2. Click vào chọn 1 digital tool
3. Click vào button せんたく中のイラストを見る
4. Click vào bên ngoài vùng hiển modal</t>
  </si>
  <si>
    <t>4. Đóng modal, list digital được chọn không thay đổil</t>
  </si>
  <si>
    <t>Kiểm tra paging</t>
  </si>
  <si>
    <t>Kiểm tra khi có 1 page</t>
  </si>
  <si>
    <t>Số digital tool là &lt;=30
Số lượng digital tool 1 hàng là 10</t>
  </si>
  <si>
    <t>1. Vào màn hình list digital tool với data ở pre-codition
2. Kiểm tra hiển thị paging</t>
  </si>
  <si>
    <t>2. Hiển thị như design : &lt;&lt;  &lt;  1  2   3   4   5 &gt;  &gt;&gt;
Trong đó các button &lt;&lt;,&lt;,2,3,4,5 , &gt; ,&gt;&gt; đều không hoạt động</t>
  </si>
  <si>
    <t>Số digital tool là &lt;=30
Số lượng digital tool 1 hàng là 6</t>
  </si>
  <si>
    <t>2. Hiển thị như design : &lt;&lt;  &lt;  1  2   3   4   5 &gt;  &gt;&gt;
Trong đó các button &lt;&lt;,&lt;,2,3,4,5 , &gt; ,&gt;&gt; đều không hoạt động
- Vì thu nhỏ response còn 6 digital 1 hàng nên nếu số bản ghi &gt; 18 thì cần scoll xuống mới hiển thị đủ</t>
  </si>
  <si>
    <t xml:space="preserve">Kiểm tra khi có 5 page </t>
  </si>
  <si>
    <t>Số lượng digital tool nằm trong khoảng 121&lt; x &lt;=150
Đang ở page 1</t>
  </si>
  <si>
    <t>1. Vào màn hình list digital tool với data ở pre-codition
2. Kiểm tra hiển thị paging
3. Click sang page 5=&gt; Kiểm tra hiển thị paging</t>
  </si>
  <si>
    <t>2. Hiển thị như design : &lt;&lt;  &lt;  1  2   3   4   5 &gt;  &gt;&gt;
Trong đó: 
- Các button &lt;&lt;,&lt; bị disable
- Page 1 đang được focus hiển thị dưới dạng nút màu trắng
- Các button 2,3,4,5,&gt;,&gt;&gt; enable có thể click
3. Page 5 đang được focus hiển thị dưới dạng nút màu trắng
Các button &lt;&lt;,&lt;,1,2,3,4 đều enable có thể click
Các button &gt;,&gt;&gt; bị disable</t>
  </si>
  <si>
    <t>Kiểm tra khi có nhiều hơn 5 page</t>
  </si>
  <si>
    <t>Số lượng digital tool nằm trong khoảng 121&lt; x &lt;=150
Đang ở page 5</t>
  </si>
  <si>
    <t>2. Hiển thị như design : &lt;&lt;  &lt;  1  2   3   4   5 &gt;  &gt;&gt;
Trong đó: 
- Page 5 đang được focus hiển thị dưới dạng nút màu trắng
- Tất cả các button đều enable có thể click</t>
  </si>
  <si>
    <t>Kiểm tra click chuyển page</t>
  </si>
  <si>
    <t>Số lượng page là &gt; 1
Đang ở page 1</t>
  </si>
  <si>
    <t>1. Vào màn hình list digital tool với data ở pre-codition
2. Click chuyển sang page ở giữa =&gt; Kiểm tra hiển thị paging
3. Click chuyển sang page cuối cùng=&gt; Kiểm tra hiển thị paging</t>
  </si>
  <si>
    <t>2. Chuyển nhanh sang page được click, data digital tool hiển thị đúng dữ liệu 
- Tất cả các button đều enable 
3. Chuyển nhanh sang page được click, data digital tool hiển thị đúng dữ liệu           
- Page được focus hiển thị dưới dạng nút màu trắng 
- 2 button &gt;,&gt;&gt; bị disable 
- Các button &lt;,&lt;&lt; và các page đứng trước page cuối đều enable</t>
  </si>
  <si>
    <t xml:space="preserve">Kiểm tra click button &lt;,&gt; </t>
  </si>
  <si>
    <t>1. Vào màn hình list digital tool với data ở pre-codition
2. Click vào button &gt; =&gt; Kiểm tra hiển thị paging
3. Click vào button &lt;  =&gt; Kiểm tra hiển thị paging</t>
  </si>
  <si>
    <t>2. Đi tới page 2
3. Đi tới page 1</t>
  </si>
  <si>
    <t>Kiểm tra click button &lt;&lt;,&gt;&gt;</t>
  </si>
  <si>
    <t>Số lượng page là 5
Đang ở page 1</t>
  </si>
  <si>
    <t>1. Vào màn hình list digital tool với data ở pre-codition
2. Click vào button &gt;&gt; =&gt; Kiểm tra hiển thị paging
3. Click vào button &lt;&lt;=&gt; Kiểm tra hiển thị paging</t>
  </si>
  <si>
    <t>2. Đi tới page 5
3. ĐI tới page 1</t>
  </si>
  <si>
    <t>Số lượng page là &gt; 5
Đang ở page 1</t>
  </si>
  <si>
    <t>1. Vào màn hình list digital tool với data ở pre-codition
2. Click vào button &gt;&gt; =&gt; Kiểm tra hiển thị paging
3. Click vào button &lt;&lt; =&gt; Kiểm tra hiển thị paging</t>
  </si>
  <si>
    <t>2. Đi tới page cuối cùng 
3. Đi tới page 1</t>
  </si>
  <si>
    <t>Tìm kiếm theo keyword</t>
  </si>
  <si>
    <t>Kiểm tra nhập text vào textbox search</t>
  </si>
  <si>
    <t>Không nhập gì</t>
  </si>
  <si>
    <t>1. Vào màn hình list digital tool
2. Không input từ khóa vào textbox search
3. Click vào button さがす</t>
  </si>
  <si>
    <t>3. Hiển thị với list digital tool như cũ : bao gồm list category và [教科・学年]</t>
  </si>
  <si>
    <t>&lt;=20 ký tự</t>
  </si>
  <si>
    <t>1. Vào màn hình list digital tool
2. Nhập vào textbox từ khóa có &lt;=20 ký tự 
3. Click vào button さがす</t>
  </si>
  <si>
    <t>3. Hiển thị kết quả tương ứng với từ khóa nhập vào</t>
  </si>
  <si>
    <t>&gt;20 ký tự</t>
  </si>
  <si>
    <t xml:space="preserve">1. Vào màn hình list digital tool
2. Nhập vào textbox từ khóa có &gt;20 ký tự </t>
  </si>
  <si>
    <t>2. Không thể nhập vào</t>
  </si>
  <si>
    <t>1. Vào màn hình list digital tool
2. Nhập vào textbox từ khóa không có trong tên và keyword của tất cả digital tool</t>
  </si>
  <si>
    <t>2. Hiển thị màn hình trắng</t>
  </si>
  <si>
    <t>Kiểm tra tìm kiếm thành công với tên ảnh</t>
  </si>
  <si>
    <t>1. Tạo digital tool của category có tên là ゆきだま
2. Tạo digital tool của [教科・学年] có tên là ごむだま</t>
  </si>
  <si>
    <t>1. Vào màn hình list digital tool
2. Nhập vào textbox từ khóa " だま"
3. Click vào button さがす</t>
  </si>
  <si>
    <t>3. Cả digital tool của category và [教科・学年] đều hiển thị</t>
  </si>
  <si>
    <t>1. Vào màn hình list digital tool
2. Nhập vào textbox từ khóa " きだま"
3. Click vào button さがす</t>
  </si>
  <si>
    <t>3. Chỉ digital tool của category hiển thị</t>
  </si>
  <si>
    <t>1. Vào màn hình list digital tool
2. Nhập vào textbox từ khóa " むだま"
3. Click vào button さがす</t>
  </si>
  <si>
    <t>3. Chỉ digital tool của [教科・学年] hiển thị</t>
  </si>
  <si>
    <t>1. Vào màn hình list digital tool
2. Nhập vào textbox từ khóa " ゆきだま"
3. Click vào button さがす</t>
  </si>
  <si>
    <t>1. Vào màn hình list digital tool
2. Nhập vào textbox từ khóa " ごむだま"
3. Click vào button さがす</t>
  </si>
  <si>
    <t>Kiểm tra tìm kiếm thành công với keyword đã đăng ký với ảnh</t>
  </si>
  <si>
    <t>1. Đăng ký keyword cho digital tool của category là 雪玉
2. Đăng ký keyword cho digital tool của [教科・学年] là ゴム玉</t>
  </si>
  <si>
    <t>1. Vào màn hình list digital tool
2. Nhập vào textbox từ khóa " 玉"
3. Click vào button さがす</t>
  </si>
  <si>
    <t>1. Vào màn hình list digital tool
2. Nhập vào textbox từ khóa " 雪"
3. Click vào button さがす</t>
  </si>
  <si>
    <t>1. Vào màn hình list digital tool
2. Nhập vào textbox từ khóa " ゴム"
3. Click vào button さがす</t>
  </si>
  <si>
    <t>1. Vào màn hình list digital tool
2. Nhập vào textbox từ khóa " 雪玉"
3. Click vào button さがす</t>
  </si>
  <si>
    <t>1. Vào màn hình list digital tool
2. Nhập vào textbox từ khóa " ゴム玉"
3. Click vào button さがす</t>
  </si>
  <si>
    <t>Tìm kiếm theo category tag</t>
  </si>
  <si>
    <t>Kiểm tra UI khi click vào dropdown 絵の しゅるい</t>
  </si>
  <si>
    <r>
      <rPr>
        <rFont val="Times New Roman"/>
        <sz val="11.0"/>
      </rPr>
      <t xml:space="preserve">2. Hiển thị UI như design : </t>
    </r>
    <r>
      <rPr>
        <rFont val="Times New Roman"/>
        <color rgb="FF1155CC"/>
        <sz val="11.0"/>
        <u/>
      </rPr>
      <t>https://docs.google.com/presentation/d/1uIXz_fgthWJZ-wI9hncMjBFuUkY5cvgzLVYgvmFzVv4/edit?slide=id.g33b0341dd9c_0_113#slide=id.g33b0341dd9c_0_113</t>
    </r>
  </si>
  <si>
    <t>Kiểm tra đóng dropdown list tag</t>
  </si>
  <si>
    <t>Khi chưa action gì trên list tag</t>
  </si>
  <si>
    <t xml:space="preserve">1. Vào màn hình list digital tool
2. Click vào dropdown 絵の しゅるい
3. Click lại vào dropdown 絵の しゅるい
4. Click vào dropdown 絵の しゅるい
5. Click ra ngoài vùng hiển thị list tag 
</t>
  </si>
  <si>
    <t>3. Đóng list tag
5. Đóng list tag</t>
  </si>
  <si>
    <t>Đã thực hiện chọn các tag trên list tag</t>
  </si>
  <si>
    <t xml:space="preserve">1. Vào màn hình list digital tool
2. Click vào dropdown 絵の しゅるい
3. Thực hiện các action chọn tag =&gt;Click lại vào dropdown 絵の しゅるい
4. Click vào dropdown 絵の しゅるい
5. Thực hiện các action chọn tag =&gt;Click ra ngoài vùng hiển thị list tag 
6. Click vào dropdown 絵の しゅるい
</t>
  </si>
  <si>
    <t>3. Đóng list tag
5. Đóng list tag
6. Mở lại list tag như steps 2</t>
  </si>
  <si>
    <t>Kiểm tra list tag</t>
  </si>
  <si>
    <t>Kiểm tra hiển thị tag level 1</t>
  </si>
  <si>
    <t>&lt;=18 items</t>
  </si>
  <si>
    <t>1. Vào màn hình list digital tool
2. Click vào dropdown 絵の しゅるい
3. Kiểm tra hiển thị list tag level 1</t>
  </si>
  <si>
    <t>3. Hiển thị tối đa 18 items với số lượng 3x6: theo thứ tự từ trên xuống, trái qua phải. 
Không có scroll</t>
  </si>
  <si>
    <t>&gt;18 items</t>
  </si>
  <si>
    <t>3. Hiển thị 18 items với số lượng 3x6: theo thứ tự từ trên xuống, trái qua phải. 
Có scroll, có thể scroll để load thêm items</t>
  </si>
  <si>
    <t>Kiểm tra click chọn tag level 1</t>
  </si>
  <si>
    <t>List tag level 2 của tag level 1 được chọn có &lt;=18 items</t>
  </si>
  <si>
    <t>1. Vào màn hình list digital tool
2. Click vào dropdown 絵の しゅるい
3. Click vào 1 tag level 1 ở pre-condition
4. Kiểm tra hiển thị list tag level 2</t>
  </si>
  <si>
    <r>
      <rPr>
        <rFont val="Times New Roman"/>
        <color theme="1"/>
        <sz val="11.0"/>
      </rPr>
      <t xml:space="preserve">2. Tag level 1 hiển thị được chọn( hiển thị background </t>
    </r>
    <r>
      <rPr>
        <rFont val="Times New Roman"/>
        <color rgb="FFFF0000"/>
        <sz val="11.0"/>
      </rPr>
      <t>#FFCC00)</t>
    </r>
    <r>
      <rPr>
        <rFont val="Times New Roman"/>
        <color theme="1"/>
        <sz val="11.0"/>
      </rPr>
      <t xml:space="preserve">
3. List tag level 2 hiển thị ở phần ô vuông bên cạnh list tag level 1:  
Hiển thị tối đa 18 items với số lượng 3x6: theo thứ tự từ trên xuống, trái qua phải. 
Không có scroll</t>
    </r>
  </si>
  <si>
    <t>List tag level 2 của tag level 1 được chọn có &gt;18 items</t>
  </si>
  <si>
    <r>
      <rPr>
        <rFont val="Times New Roman"/>
        <color theme="1"/>
        <sz val="11.0"/>
      </rPr>
      <t>2. Tag level 1 hiển thị được chọn( hiển thị background  #</t>
    </r>
    <r>
      <rPr>
        <rFont val="Times New Roman"/>
        <color rgb="FFFF0000"/>
        <sz val="11.0"/>
      </rPr>
      <t>FFCC00</t>
    </r>
    <r>
      <rPr>
        <rFont val="Times New Roman"/>
        <color theme="1"/>
        <sz val="11.0"/>
      </rPr>
      <t>)
3. List tag level 2 hiển thị ở phần ô vuông bên cạnh list tag level 1:  
Hiển thị 18 items với số lượng 3x6: theo thứ tự từ trên xuống, trái qua phải. 
Có scroll, có thể scroll để load thêm items</t>
    </r>
  </si>
  <si>
    <t>Kiểm tra click chọn 1 tag level 1 khác</t>
  </si>
  <si>
    <t>1. Vào màn hình list digital tool
2. Click vào dropdown 絵の しゅるい
3. Click vào 1 tag level 1 
4. Click vào 1 tag level 1 khác</t>
  </si>
  <si>
    <r>
      <rPr>
        <rFont val="Times New Roman"/>
        <color theme="1"/>
        <sz val="11.0"/>
      </rPr>
      <t>4. Tag level 1 ở step 3 bị bỏ chọn ( mất background #</t>
    </r>
    <r>
      <rPr>
        <rFont val="Times New Roman"/>
        <color rgb="FFFF0000"/>
        <sz val="11.0"/>
      </rPr>
      <t>FFCC00</t>
    </r>
    <r>
      <rPr>
        <rFont val="Times New Roman"/>
        <color theme="1"/>
        <sz val="11.0"/>
      </rPr>
      <t>)
    Tag level 1 ở step 4 hiển thị được chọn ( hiển thị background #</t>
    </r>
    <r>
      <rPr>
        <rFont val="Times New Roman"/>
        <color rgb="FFFF0000"/>
        <sz val="11.0"/>
      </rPr>
      <t>FFCC00</t>
    </r>
    <r>
      <rPr>
        <rFont val="Times New Roman"/>
        <color theme="1"/>
        <sz val="11.0"/>
      </rPr>
      <t>)
=&gt; Hiển thị list tag level 2 tương ứng với tag level 1 được click ở step4</t>
    </r>
  </si>
  <si>
    <t>Kiểm tra click vào thẻ tag level 1 đang được chọn</t>
  </si>
  <si>
    <t>1. Vào màn hình list digital tool
2. Click vào dropdown 絵の しゅるい
3. Click vào 1 tag level 1 
4. Click lại vào tag level 1 ở step3</t>
  </si>
  <si>
    <t>4. Bỏ chọn tag level 1, list tag level 2 sẽ trống</t>
  </si>
  <si>
    <t>Kiểm tra click chọn tag level 2</t>
  </si>
  <si>
    <t>Tag level 1 có tag level 2 và tag level 2 có &lt;= 10 tag level 3</t>
  </si>
  <si>
    <t>1. Vào màn hình list digital tool
2. Click vào dropdown 絵の しゅるい
3. Click vào tag level 1 ở pre-condition
4. Click vào tag level 2 ở pre-condition</t>
  </si>
  <si>
    <t>4. Hiển thị tối đa 10 items với màu background là #D9D9D9
Không có scroll</t>
  </si>
  <si>
    <t>Tag level 1 có tag level 2 và tag level 2 có &gt; 10 tag level 3</t>
  </si>
  <si>
    <t>4. Hiển thị 10 items với màu background là #D9D9D9
Có scroll, có thể scroll để load thêm items</t>
  </si>
  <si>
    <t>Kiểm tra hiển thị tên tag level 3</t>
  </si>
  <si>
    <t>Tag level 1 có tag level 2 và tag level 2 có tag level 3 với : Tên của  tag level 3 có số ký tự nhỏ hơn khung hiển thị</t>
  </si>
  <si>
    <t>1. Vào màn hình list digital tool
2. Click vào dropdown 絵の しゅるい
3. Click vào tag level 1 ở pre-condition
4. Click vào tag level 2 ở pre-condition
5. Kiểm tra hiển thị tên tag level 3</t>
  </si>
  <si>
    <t>5. Hiển thị đủ tên tag level 3</t>
  </si>
  <si>
    <t>Tag level 1 có tag level 2 và tag level 2 có tag level 3 với : Tên của tag level 3 có số ký tự dài hơn khung hiển thị</t>
  </si>
  <si>
    <t>1. Vào màn hình list digital tool
2. Click vào dropdown 絵の しゅるい
3. Click vào tag level 1 ở pre-condition 
4. Click vào tag level 2 ở pre-condition
5. Kiểm tra hiển thị tên tag level 3</t>
  </si>
  <si>
    <t>5. Hiển thị tên đến giới hạn của khung, các từ còn lại sẽ bị cắt đi</t>
  </si>
  <si>
    <t xml:space="preserve">Kiểm tra click chọn tag level 1 </t>
  </si>
  <si>
    <t>Tag level 1 có nhiều tag level 2 và tag level 2 có tag level 3</t>
  </si>
  <si>
    <t>1. Vào màn hình list digital tool
2. Click vào dropdown 絵の しゅるい
3. Click vào tag level 1 ở pre-condition
4. Click vào tag level 2
5. Click lại vào tag level 1 ở step 3=&gt; Kiểm tra hiển thị tag level 3</t>
  </si>
  <si>
    <t>5. Tag level 1 ở step 3 sẽ bị bỏ chọn
    List tag level 2,3 sẽ trống</t>
  </si>
  <si>
    <t>Kiểm tra click chọn 1 tag level 2 khác</t>
  </si>
  <si>
    <t>Tag level 1 có nhiều tag level 2</t>
  </si>
  <si>
    <t>1. Vào màn hình list digital tool
2. Click vào dropdown 絵の しゅるい
3. Click vào tag level 1 ở pre-condition
4. Click vào 1 tag level 2
5. Click vào 1 tag level 2 khác tag ở step 4=&gt; Kiểm tra hiển thị tag level 2,3</t>
  </si>
  <si>
    <t>5. Tag level 2 ở step 4 sẽ bị bỏ chọn , tag level 2 ở step 5 sẽ hiển thị đang được chọn( hiển thị background vàng)
    Hiển thị list tag level 3 thuộc về tag level 2 ở step 5</t>
  </si>
  <si>
    <t>Kiểm tra click vào thẻ tag level 2 đang được chọn</t>
  </si>
  <si>
    <t>1. Vào màn hình list digital tool
2. Click vào dropdown 絵の しゅるい
3. Click vào tag level 1 ở pre-condition
4. Click vào 1 tag level 2
5. Click lại vào tag level 2 ở step 4=&gt; Kiểm tra hiển thị tag level 2,3</t>
  </si>
  <si>
    <t>5. Tag level 2 ở step 4 sẽ bị bỏ chọn
    List tag level 3 sẽ trống</t>
  </si>
  <si>
    <t>Kiểm tra click vào tag level 1 khác</t>
  </si>
  <si>
    <t>1. Vào màn hình list digital tool
2. Click vào dropdown 絵の しゅるい
3. Click vào tag level 1 ở pre-condition
4. Click vào 1 tag level 2
5. Click vào tag level 1 khác  step 3=&gt; Kiểm tra hiển thị tag level 1,2, 3</t>
  </si>
  <si>
    <t>5. Tag level 1 ở step 3 sẽ bị bỏ chọn , tag level 1 ở step 5 sẽ hiển thị đang được chọn( hiển thị background vàng)
    Hiển thị list tag level 2 thuộc về tag level 1 ở step 5</t>
  </si>
  <si>
    <t>Kiểm tra click chọn tag level 3</t>
  </si>
  <si>
    <t>Tag level 1 có tag level 2 
Tag level 2 có tag level 3
Tag level 3 có &lt;= 10 tag level 4</t>
  </si>
  <si>
    <t>1. Vào màn hình list digital tool
2. Click vào dropdown 絵の しゅるい
3. Click vào tag level 1 ở pre-condition
4. Click vào tag level 2 ở pre-condition
5. Click vào tag level 3 ở pre-condition
6. Kiểm tra hiển thị list tag level 4</t>
  </si>
  <si>
    <t>6. Hiển thị tất cả tag level 4 với màu background là #D9D9D9
Không có scroll</t>
  </si>
  <si>
    <t>Tag level 1 có tag level 2 
Tag level 2 có có tag level 3
Tag level 3 có &gt; 10 tag level 4</t>
  </si>
  <si>
    <t>6. Hiển thị 10 items với màu background là #D9D9D9
Có scroll, có thể scroll để load thêm items</t>
  </si>
  <si>
    <t>Kiểm tra hiển thị tên tag level 4</t>
  </si>
  <si>
    <t>Tag level 1 có tag level 2 
Tag level 2 có có tag level 3
Tag level 3 có tag level 4:  Tên của  tag level 4 có số ký tự nhỏ hơn khung hiển thị</t>
  </si>
  <si>
    <t>1. Vào màn hình list digital tool
2. Click vào dropdown 絵の しゅるい
3. Click vào tag level 1 ở pre-condition
4. Click vào tag level 2 ở pre-condition
5. Click vào tag level 3 ở pre-condition
6. Kiểm tra hiển thị tên tag level 4</t>
  </si>
  <si>
    <t>5. Hiển thị đủ tên tag level 4</t>
  </si>
  <si>
    <t>Tag level 1 có tag level 2 
Tag level 2 có có tag level 3
Tag level 3 có tag level 4:  Tên của  tag level 3 có số ký tự dài hơn khung hiển thị</t>
  </si>
  <si>
    <t>Kiểm tra click chọn 1 tag level 3 khác</t>
  </si>
  <si>
    <t>Tag level 1 có tag level 2 và tag level 2 có nhiều tag level 3</t>
  </si>
  <si>
    <t>1. Vào màn hình list digital tool
2. Click vào dropdown 絵の しゅるい
3. Click vào tag level 1 ở pre-condition
4. Click vào tag level 2 
5. Click vào tag level 3
6. Click vào 1 tag level 3 khác tag ở step 5=&gt; Kiểm tra hiển thị list tag level 3,4</t>
  </si>
  <si>
    <r>
      <rPr>
        <rFont val="Times New Roman"/>
        <color theme="1"/>
        <sz val="11.0"/>
      </rPr>
      <t>6. Tag level 3 ở step 5 sẽ bị bỏ chọn , tag level 3 ở step 6 sẽ hiển thị đang được chọn( hiển thị background #</t>
    </r>
    <r>
      <rPr>
        <rFont val="Times New Roman"/>
        <color rgb="FFFF0000"/>
        <sz val="11.0"/>
      </rPr>
      <t>FFCC00</t>
    </r>
    <r>
      <rPr>
        <rFont val="Times New Roman"/>
        <color theme="1"/>
        <sz val="11.0"/>
      </rPr>
      <t>)
   Hiển thị list tag level 4 thuộc về tag level 3 ở step 6</t>
    </r>
  </si>
  <si>
    <t>Kiểm tra click vào thẻ tag level 3 đang được chọn</t>
  </si>
  <si>
    <t>Tag level 1 có tag level 2 và tag level 2 có tag level 3</t>
  </si>
  <si>
    <t>1. Vào màn hình list digital tool
2. Click vào dropdown 絵の しゅるい
3. Click vào tag level 1 ở pre-condition
4. Click vào tag level 2 
5. Click vào tag level 3 
6. Click lại vào tag level 3 ở step5 =&gt; Kiểm tra hiển thị list tag level 3,4</t>
  </si>
  <si>
    <t>5. Tag level 3 ở step 5 sẽ bị bỏ chọn
    List tag level 4 sẽ trống</t>
  </si>
  <si>
    <t>Kiểm tra click vào thẻ tag level 2 khác</t>
  </si>
  <si>
    <t>1. Vào màn hình list digital tool
2. Click vào dropdown 絵の しゅるい
3. Click vào tag level 1 ở pre-condition
4. Click vào 1 tag level 2
5. Click vào 1 tag level 3
6. Click vào tag level 2 khác step 4 =&gt; Kiểm tra hiển thị list tag level 2,3,4</t>
  </si>
  <si>
    <t>5. Tag level 2 ở step 4 sẽ bị bỏ chọn, tag level 2 ở step 6 sẽ được chọn
    Hiển thị list tag level 3 của tag level 2 ở step 6 và list tag level 4 sẽ trống</t>
  </si>
  <si>
    <t>Kiểm tra click vào lần 2 vào thẻ tag level 2 đang được chọn</t>
  </si>
  <si>
    <t>1. Vào màn hình list digital tool
2. Click vào dropdown 絵の しゅるい
3. Click vào tag level 1 ở pre-condition
4. Click vào 1 tag level 2
5. Click vào 1 tag level 3
6. Click lại vào tag level 2 ở step 4 =&gt; Kiểm tra hiển thị list tag level 2,3,4</t>
  </si>
  <si>
    <t>5. Tag level 2 ở step 4 sẽ bị bỏ chọn
    List tag level 3,4 sẽ trống</t>
  </si>
  <si>
    <t>Kiểm tra click vào thẻ tag level 1 khác</t>
  </si>
  <si>
    <t>1. Vào màn hình list digital tool
2. Click vào dropdown 絵の しゅるい
3. Click vào tag level 1 ở pre-condition
4. Click vào 1 tag level 2
5. Click vào 1 tag level 3
6. Click vào 1 tag level 1 khác tag ở step 3 =&gt; Kiểm tra hiển thị list tag level 1,2,3,4</t>
  </si>
  <si>
    <t>5. Tag level 1 ở step 3 sẽ bị bỏ chọn, tag level 1 ở step 6 sẽ được chọn
    Hiển thị list tag level 2 của tag level 1 ở step 6 và list tag level 3,4 sẽ trống</t>
  </si>
  <si>
    <t>Kiểm tra click lần 2 vào thẻ tag level 1 đang được chọn</t>
  </si>
  <si>
    <t>1. Vào màn hình list digital tool
2. Click vào dropdown 絵の しゅるい
3. Click vào tag level 1 ở pre-condition
4. Click vào 1 tag level 2
5. Click vào 1 tag level 3
6. Click lại vào tag level 1 ở step 3 =&gt; Kiểm tra hiển thị list tag level 1,2,3,4</t>
  </si>
  <si>
    <t>5. Tag level 1 ở step 3 sẽ bị bỏ chọn
    List tag level 2,3,4 sẽ trống</t>
  </si>
  <si>
    <t>Kiểm tra click chọn tag level 4</t>
  </si>
  <si>
    <t>Tag level 1 có tag level 2
Tag level 2 có tag level 3
Tag level 3 có tag level 4</t>
  </si>
  <si>
    <t>1. Vào màn hình list digital tool
2. Click vào dropdown 絵の しゅるい
3. Click vào tag level 1 ở pre-condition
4. Click vào 1 tag level 2
5. Click vào 1 tag level 3
6. Click vào 1 tag level 4 =&gt; Kiểm tra hiển thị</t>
  </si>
  <si>
    <r>
      <rPr>
        <rFont val="Times New Roman"/>
        <color theme="1"/>
        <sz val="11.0"/>
      </rPr>
      <t>6. Tag level 4 được chọn ( hiển thị background  #</t>
    </r>
    <r>
      <rPr>
        <rFont val="Times New Roman"/>
        <color rgb="FFFF0000"/>
        <sz val="11.0"/>
      </rPr>
      <t>FFCC00</t>
    </r>
    <r>
      <rPr>
        <rFont val="Times New Roman"/>
        <color theme="1"/>
        <sz val="11.0"/>
      </rPr>
      <t>)</t>
    </r>
  </si>
  <si>
    <t>Kiểm tra click chọn tag level 4 đang được chọn</t>
  </si>
  <si>
    <t>1. Vào màn hình list digital tool
2. Click vào dropdown 絵の しゅるい
3. Click vào tag level 1 ở pre-condition
4. Click vào 1 tag level 2
5. Click vào 1 tag level 3
6. Click vào 1 tag level 4
7. Click lại vào tag level 4 ở step 6 =&gt; Kiểm tra hiển thị</t>
  </si>
  <si>
    <r>
      <rPr>
        <rFont val="Times New Roman"/>
        <color theme="1"/>
        <sz val="11.0"/>
      </rPr>
      <t>7. Tag level 4 bị bỏ chọn ( mất background  #</t>
    </r>
    <r>
      <rPr>
        <rFont val="Times New Roman"/>
        <color rgb="FFFF0000"/>
        <sz val="11.0"/>
      </rPr>
      <t>FFCC00</t>
    </r>
    <r>
      <rPr>
        <rFont val="Times New Roman"/>
        <color theme="1"/>
        <sz val="11.0"/>
      </rPr>
      <t>)</t>
    </r>
  </si>
  <si>
    <t>Kiểm tra tìm kiếm với không chọn thẻ tag</t>
  </si>
  <si>
    <t>Kiểm tra tìm kiếm khi không chọn tag nào</t>
  </si>
  <si>
    <t>1. Vào màn hình list digital tool
2. Click vào dropdown 絵の しゅるい
3. Click vào button さがす</t>
  </si>
  <si>
    <t>1. Vào màn hình kết quả tìm kiếm
2. Kiểm tra hiển thị breadscrumb
3. Kiểm tra list data hiển thị</t>
  </si>
  <si>
    <t>2. Hiển thị màn hình kết quả với breadscrumb chỉ có text :絵のしゅるい không thể click
3. List data là tất cả digital tool thuộc category</t>
  </si>
  <si>
    <t>Kiểm tra tìm kiếm với tag level 1</t>
  </si>
  <si>
    <t>1. Vào màn hình list digital tool
2. Click vào dropdown 絵の しゅるい
3. Click chọn tag level 1 có ảnh digital tool
4. Click vào button さがす</t>
  </si>
  <si>
    <t>2. Hiển thị màn hình kết quả với breadscrumb : 絵のしゅるい &gt; [第1層タグ] 
Với 絵のしゅるい là link text và [第1層タグ]  là text
3. List data hiển thị tất cả digital tool thuộc thẻ tag level 1</t>
  </si>
  <si>
    <t>1. Vào màn hình list digital tool
2. Click vào dropdown 絵の しゅるい
3. Click chọn tag level 1 không có ảnh digital tool
4. Click vào button さがす</t>
  </si>
  <si>
    <t>2. Hiển thị màn hình kết quả với breadscrumb : 絵のしゅるい &gt; [第1層タグ] 
Với 絵のしゅるい là link text và [第1層タグ]  là text
3. List data trống</t>
  </si>
  <si>
    <t>Kiểm tra hiển thị breadscrumb</t>
  </si>
  <si>
    <t>1. Vào màn hình list digital tool
2. Click vào dropdown 絵の しゅるい
3. Click chọn tag level 1 có tên &lt;=10 ký tự
4. Click vào button さがす</t>
  </si>
  <si>
    <t>1. Vào màn hình kết quả tìm kiếm
2. Kiểm tra hiển thị breadscrumb</t>
  </si>
  <si>
    <t>2. Tên thẻ tag level 1 hiển thị đủ</t>
  </si>
  <si>
    <t>1. Vào màn hình list digital tool
2. Click vào dropdown 絵の しゅるい
3. Click chọn tag level 1 có tên lớn hơn 10 ký tự
4. Click vào button さがす</t>
  </si>
  <si>
    <t>2. Tên thẻ tag level 1 hiển thị 10 ký tự, từ ký tự thứ 11 thì bị cắt đi</t>
  </si>
  <si>
    <t>Kiểm tra click vào breadscrumb</t>
  </si>
  <si>
    <t>1. Vào màn hình kết quả tìm kiếm
2. Kiểm tra khi click vào link 絵の しゅるい ở breadscrumb</t>
  </si>
  <si>
    <t>2. Hiển thị màn hình kết quả với breadscrumb chỉ có text :絵のしゅるい không thể click
    List data là tất cả digital tool thuộc category</t>
  </si>
  <si>
    <t>Kiểm tra tìm kiếm với tag level 2</t>
  </si>
  <si>
    <t>Kiểm tra tìm kiếm khi chọn tag level 2</t>
  </si>
  <si>
    <t>1. Vào màn hình list digital tool
2. Click vào dropdown 絵の しゅるい
3. Click chọn 1 thẻ tag level 1 có tag level 2
4. Click chọn thẻ tag level 2 có digital tool
5. Click vào button さがす</t>
  </si>
  <si>
    <t>2. Hiển thị màn hình kết quả với breadscrumb :絵のしゅるい &gt; [第1層タグ]  &gt; [第2層タグ]
Với : 
     絵のしゅるい,  [第1層タグ] là link text có thể click 
      [第2層タグ]  là text không thể click
3. List data hiển thị tất cả digital tool thuộc thẻ tag level 2</t>
  </si>
  <si>
    <t>1. Vào màn hình list digital tool
2. Click vào dropdown 絵の しゅるい
3. Click chọn 1 thẻ tag level 1 có tag level 2
4. Click chọn thẻ tag level 2 không có digital tool
5. Click vào button さがす</t>
  </si>
  <si>
    <t>2. Hiển thị màn hình kết quả với breadscrumb :絵のしゅるい &gt; [第1層タグ]  &gt; [第2層タグ]
Với : 
     絵のしゅるい,  [第1層タグ] là link text có thể click 
      [第2層タグ]  là text không thể click
3. List data trống</t>
  </si>
  <si>
    <t>1. Vào màn hình list digital tool
2. Click vào dropdown 絵の しゅるい
3. Click chọn 1 thẻ tag level 1 có tag level 2
4. Click chọn thẻ tag level 2 có tên &lt;= 10 ký tự
5. Click vào button さがす</t>
  </si>
  <si>
    <t>2. Tên thẻ tag level 2 hiển thị đủ</t>
  </si>
  <si>
    <t>1. Vào màn hình list digital tool
2. Click vào dropdown 絵の しゅるい
3. Click chọn 1 thẻ tag level 1 có tag level 2
4. Click chọn thẻ tag level 2 có tên &gt; 10 ký tự
5. Click vào button さがす</t>
  </si>
  <si>
    <t>2. Tên thẻ tag level 2 hiển thị 10 ký tự, từ ký tự thứ 11 thì bị cắt đi</t>
  </si>
  <si>
    <t>1. Vào màn hình list digital tool
2. Click vào dropdown 絵の しゅるい
3. Click chọn 1 thẻ tag level 1 có tag level 2
4. Click chọn thẻ tag level 2
5. Click vào button さがす</t>
  </si>
  <si>
    <t>1. Vào màn hình kết quả tìm kiếm
2. Kiểm tra khi click vào link  [第1層タグ] ở breadscrumb</t>
  </si>
  <si>
    <t>2. Hiển thị màn hình kết quả với breadscrumb :絵のしゅるい &gt; [第1層タグ]  
Với : 
     絵のしゅるい là link text có thể click 
      [第1層タグ]  là text không thể click
- List data là tất cả digital tool thuộc tag level 1</t>
  </si>
  <si>
    <t>1. Vào màn hình list digital tool
2. Click vào dropdown 絵の しゅるい
3. Click chọn 1 thẻ tag level 1 có tag level 2
4. Click chọn thẻ tag level 2 
5. Click vào button さがす</t>
  </si>
  <si>
    <t>1. Vào màn hình kết quả tìm kiếm
2. Kiểm tra khi click vào link  絵のしゅるい ở breadscrumb</t>
  </si>
  <si>
    <t>Kiểm tra tìm kiếm với tag level 3</t>
  </si>
  <si>
    <t>1. Vào màn hình list digital tool
2. Click vào dropdown 絵の しゅるい
3. Click chọn 1 thẻ tag level 1 có tag level 2
4. Click chọn thẻ tag level 2 có tag level 3
5. Click chọn thẻ tag level 3 có digital tool
6. Click vào button さがす</t>
  </si>
  <si>
    <t>2. Hiển thị màn hình kết quả với breadscrumb : 絵のしゅるい &gt; [第1層タグ] &gt; [第2層タグ] &gt; [第3層タグ]   
Với : 
     絵のしゅるい,  [第1層タグ] , [第2層タグ]  là link text có thể click 
      [第3層タグ]  là text không thể click
3. List data hiển thị tất cả digital tool thuộc thẻ tag level 3</t>
  </si>
  <si>
    <t>1. Vào màn hình list digital tool
2. Click vào dropdown 絵の しゅるい
3. Click chọn 1 thẻ tag level 1 có tag level 2
4. Click chọn thẻ tag level 2 có tag level 3
5. Click chọn thẻ tag level 3 không có digital tool
6. Click vào button さがす</t>
  </si>
  <si>
    <t>2. Hiển thị màn hình kết quả với breadscrumb : 絵のしゅるい &gt; [第1層タグ] &gt; [第2層タグ] &gt; [第3層タグ]   
Với : 
     絵のしゅるい,  [第1層タグ] , [第2層タグ]  là link text có thể click 
      [第3層タグ]  là text không thể click
3. List data trống</t>
  </si>
  <si>
    <t>1. Vào màn hình list digital tool
2. Click vào dropdown 絵の しゅるい
3. Click chọn 1 thẻ tag level 1 có tag level 2
4. Click chọn thẻ tag level 2 có tag level 3
5. Click chọn thẻ tag level 3 có tên &lt;=10 ký tự
6. Click vào button さがす</t>
  </si>
  <si>
    <t>2. Tên thẻ tag level 3 hiển thị đủ</t>
  </si>
  <si>
    <t>1. Vào màn hình list digital tool
2. Click vào dropdown 絵の しゅるい
3. Click chọn 1 thẻ tag level 1 có tag level 2
4. Click chọn thẻ tag level 2 có tag level 3
5. Click chọn thẻ tag level 3 có tên &gt;10 ký tự
6. Click vào button さがす</t>
  </si>
  <si>
    <t>2. Tên thẻ tag level 3 hiển thị 10 ký tự, từ ký tự thứ 11 thì bị cắt đi</t>
  </si>
  <si>
    <t>1. Vào màn hình list digital tool
2. Click vào dropdown 絵の しゅるい
3. Click chọn 1 thẻ tag level 1 có tag level 2
4. Click chọn thẻ tag level 2 có tag level 3
5. Click chọn thẻ tag level 3 
6. Click vào button さがす</t>
  </si>
  <si>
    <t>1. Vào màn hình kết quả tìm kiếm
2. Kiểm tra click vào link  [第2層タグ] ở breadscrumb</t>
  </si>
  <si>
    <t>2. Hiển thị màn hình kết quả với breadscrumb :絵のしゅるい &gt; [第1層タグ] &gt; [第2層タグ] 
Với : 
     絵のしゅるい,  [第1層タグ]  là link text có thể click 
      [第2層タグ]  là text không thể click
- List data là tất cả digital tool thuộc tag level 2</t>
  </si>
  <si>
    <t>1. Vào màn hình kết quả tìm kiếm
2. Kiểm tra click vào link  [第1層タグ] ở breadscrumb</t>
  </si>
  <si>
    <t>2. Hiển thị màn hình kết quả với breadscrumb :絵のしゅるい &gt; [第1層タグ]  
Với : 
     絵のしゅるい  là link text có thể click 
      [第1層タグ]  là text không thể click    
- List data là tất cả digital tool thuộc tag level 1</t>
  </si>
  <si>
    <t>1. Vào màn hình kết quả tìm kiếm
2. Kiểm tra click vào link  絵のしゅるい ở breadscrumb</t>
  </si>
  <si>
    <t>Kiểm tra tìm kiếm với tag level 4</t>
  </si>
  <si>
    <t>1. Vào màn hình list digital tool
2. Click vào dropdown 絵の しゅるい
3. Click chọn 1 thẻ tag level 1 có tag level 2
4. Click chọn thẻ tag level 2 có tag level 3
5. Click chọn thẻ tag level 3 có tag level 4
6. Click chọn thẻ tag level 4 có digital tool
7. Click vào button さがす</t>
  </si>
  <si>
    <t>2. Hiển thị màn hình kết quả với breadscrumb : 絵のしゅるい &gt; [第1層タグ] &gt; [第2層タグ] &gt; [第3層タグ]   &gt; [第4層タグ]   
Với : 
     絵のしゅるい,  [第1層タグ],  [第2層タグ] ,  [第3層タグ]   là link text có thể click 
      [第4層タグ]  là text không thể click
3.  List data hiển thị tất cả digital tool thuộc thẻ tag level 4</t>
  </si>
  <si>
    <t>2. Hiển thị màn hình kết quả với breadscrumb : 絵のしゅるい &gt; [第1層タグ] &gt; [第2層タグ] &gt; [第3層タグ]   &gt; [第4層タグ]   
Với : 
     絵のしゅるい,  [第1層タグ],  [第2層タグ] ,  [第3層タグ]   là link text có thể click 
      [第4層タグ]  là text không thể click
3.  List data trống</t>
  </si>
  <si>
    <t>1. Vào màn hình list digital tool
2. Click vào dropdown 絵の しゅるい
3. Click chọn 1 thẻ tag level 1 có tag level 2
4. Click chọn thẻ tag level 2 có tag level 3
5. Click chọn thẻ tag level 3 có tag level 4
6. Click chọn thẻ tag level 4 có tên &lt;=10 ký tự
7. Click vào button さがす</t>
  </si>
  <si>
    <t>2. Tên thẻ tag level 4 hiển thị đủ</t>
  </si>
  <si>
    <t>1. Vào màn hình list digital tool
2. Click vào dropdown 絵の しゅるい
3. Click chọn 1 thẻ tag level 1 có tag level 2
4. Click chọn thẻ tag level 2 có tag level 3
5. Click chọn thẻ tag level 3 có tag level 4
6. Click chọn thẻ tag level 4 có tên &gt;10 ký tự
7. Click vào button さがす</t>
  </si>
  <si>
    <t>2. Tên thẻ tag level 4 hiển thị 10 ký tự, từ ký tự thứ 11 thì bị cắt đi</t>
  </si>
  <si>
    <t>1. Vào màn hình list digital tool
2. Click vào dropdown 絵の しゅるい
3. Click chọn 1 thẻ tag level 1 có tag level 2
4. Click chọn thẻ tag level 2 có tag level 3
5. Click chọn thẻ tag level 3 có tag level 4
6. Click chọn thẻ tag level 4
7. Click vào button さがす</t>
  </si>
  <si>
    <t>1. Vào màn hình kết quả tìm kiếm
2. Kiểm tra click vào link  [第3層タグ] ở breadscrumb</t>
  </si>
  <si>
    <t>2. Hiển thị màn hình kết quả với breadscrumb :絵のしゅるい &gt; [第1層タグ] &gt; [第2層タグ] &gt; [第3層タグ] 
Với: 
     絵のしゅるい,  [第1層タグ], [第2層タグ]  là link text có thể click
     [第3層タグ]  không thể click
- List data là tất cả digital tool thuộc tag level 3</t>
  </si>
  <si>
    <t>2. Hiển thị màn hình kết quả với breadscrumb :絵のしゅるい &gt; [第1層タグ] &gt; [第2層タグ] 
Với: 
     絵のしゅるい,  [第1層タグ]  là link text có thể click
     [第2層タグ]  không thể click    
- List data là tất cả digital tool thuộc tag level 2</t>
  </si>
  <si>
    <t>2. Hiển thị màn hình kết quả với breadscrumb :絵のしゅるい &gt; [第1層タグ]  
Với: 
     絵のしゅるい là link text có thể click
     [第1層タグ]  không thể click       
- List data là tất cả digital tool thuộc tag level 1</t>
  </si>
  <si>
    <t>Kiểm tra list data ở màn hình kết quả tìm kiếm</t>
  </si>
  <si>
    <t>Kiểm tra các case FT_22  đến FT_45</t>
  </si>
  <si>
    <t>1. Vào màn hình kết quả tìm kiếm
2. Kiểm tra tương tự các case từ FT_22  đến FT_45</t>
  </si>
  <si>
    <t>2. Kết quả các case test đều pass</t>
  </si>
  <si>
    <t>Kiểm tra action khác sau khi tìm kiếm</t>
  </si>
  <si>
    <t>Kiểm tra click vào biểu tượng emile</t>
  </si>
  <si>
    <t>1. Vào màn hình kết quả tìm kiếm
2. Kiểm tra click biểu tượng emile</t>
  </si>
  <si>
    <t>2. Điều hướng tới màn hình list digital tool</t>
  </si>
  <si>
    <t>Kiểm tra khi search bằng keyword ở màn kết quả</t>
  </si>
  <si>
    <t>1. Vào màn hình kết quả tìm kiếm
2. Nhập text vào textbox search ở header 
3. Click vào button さがす</t>
  </si>
  <si>
    <t>3. Điều hướng về màn list digital tool với list data theo textbox nhập vào, điều kiện tìm kiếm ở step1 bị clear đi</t>
  </si>
  <si>
    <t>Tìm kiếm theo [教科・学年] tag</t>
  </si>
  <si>
    <t>Kiểm tra UI khi click vào dropdown 学年・教科</t>
  </si>
  <si>
    <r>
      <rPr>
        <rFont val="Times New Roman"/>
        <sz val="11.0"/>
      </rPr>
      <t xml:space="preserve">2. Hiển thị UI như design : </t>
    </r>
    <r>
      <rPr>
        <rFont val="Times New Roman"/>
        <color rgb="FF1155CC"/>
        <sz val="11.0"/>
        <u/>
      </rPr>
      <t>https://docs.google.com/presentation/d/1uIXz_fgthWJZ-wI9hncMjBFuUkY5cvgzLVYgvmFzVv4/edit?slide=id.g33b0341dd9c_0_132#slide=id.g33b0341dd9c_0_132</t>
    </r>
  </si>
  <si>
    <t xml:space="preserve">1. Vào màn hình list digital tool
2. Click vào dropdown 学年・教科
3. Click lại vào dropdown 学年・教科
4. Click vào dropdown 学年・教科
5. Click ra ngoài vùng hiển thị list tag 
</t>
  </si>
  <si>
    <t xml:space="preserve">1. Vào màn hình list digital tool
2. Click vào dropdown 学年・教科
3. Thực hiện các action chọn tag =&gt;Click lại vào dropdown 学年・教科
4. Click vào dropdown 学年・教科
5. Thực hiện các action chọn tag =&gt;Click ra ngoài vùng hiển thị list tag 
6. Click vào dropdown 学年・教科
</t>
  </si>
  <si>
    <t>1. Vào màn hình list digital tool
2. Click vào dropdown 学年・教科
3. Kiểm tra hiển thị list tag level 1</t>
  </si>
  <si>
    <t>1. Vào màn hình list digital tool
2. Click vào dropdown 学年・教科
3. Click vào 1 tag level 1 ở pre-condition
4. Kiểm tra hiển thị list tag level 2</t>
  </si>
  <si>
    <t>2. Tag level 1 hiển thị được chọn( hiển thị background #FFCC00)
3. List tag level 2 hiển thị ở phần ô vuông bên cạnh list tag level 1:  
Hiển thị tối đa 18 items với số lượng 3x6: theo thứ tự từ trên xuống, trái qua phải. 
Không có scroll</t>
  </si>
  <si>
    <t>2. Tag level 1 hiển thị được chọn( hiển thị background #FFCC00)
3. List tag level 2 hiển thị ở phần ô vuông bên cạnh list tag level 1:  
Hiển thị 18 items với số lượng 3x6: theo thứ tự từ trên xuống, trái qua phải. 
Có scroll, có thể scroll để load thêm items</t>
  </si>
  <si>
    <t>1. Vào màn hình list digital tool
2. Click vào dropdown 学年・教科
3. Click vào 1 tag level 1 
4. Click vào 1 tag level 1 khác</t>
  </si>
  <si>
    <t>4. Tag level 1 ở step 3 bị bỏ chọn ( mất background #FFCC00)
    Tag level 1 ở step 4 hiển thị được chọn ( hiển thị background #FFCC00)
=&gt; Hiển thị list tag level 2 tương ứng với tag level 1 được click ở step4</t>
  </si>
  <si>
    <t>1. Vào màn hình list digital tool
2. Click vào dropdown 学年・教科
3. Click vào 1 tag level 1 
4. Click lại vào tag level 1 ở step3</t>
  </si>
  <si>
    <t>1. Vào màn hình list digital tool
2. Click vào dropdown 学年・教科
3. Click vào tag level 1 ở pre-condition
4. Click vào tag level 2 ở pre-condition-&gt; Kiểm tra hiển thị tag level 3</t>
  </si>
  <si>
    <t>1. Vào màn hình list digital tool
2. Click vào dropdown 学年・教科
3. Click vào tag level 1 ở pre-condition
4. Click vào tag level 2 ở pre-condition
5. Kiểm tra hiển thị tên tag level 3</t>
  </si>
  <si>
    <t>1. Vào màn hình list digital tool
2. Click vào dropdown 学年・教科
3. Click vào tag level 1 ở pre-condition 
4. Click vào tag level 2 ở pre-condition
5. Kiểm tra hiển thị tên tag level 3</t>
  </si>
  <si>
    <t>1. Vào màn hình list digital tool
2. Click vào dropdown 学年・教科
3. Click vào tag level 1 ở pre-condition
4. Click vào tag level 2
5. Click vào tag level 1 khác ở step 3=&gt; Kiểm tra hiển thị tag level 3</t>
  </si>
  <si>
    <t>1. Vào màn hình list digital tool
2. Click vào dropdown 学年・教科
3. Click vào tag level 1 ở pre-condition
4. Click vào 1 tag level 2
5. Click vào 1 tag level 2 khác tag ở step 4=&gt; Kiểm tra hiển thị tag level 2,3</t>
  </si>
  <si>
    <t>1. Vào màn hình list digital tool
2. Click vào dropdown 学年・教科
3. Click vào tag level 1 ở pre-condition
4. Click vào 1 tag level 2
5. Click lại vào tag level 2 ở step 4=&gt; Kiểm tra hiển thị tag level 2,3</t>
  </si>
  <si>
    <t>Kiểm tra click vào lần 2 vào thẻ tag level 1 đang được chọn</t>
  </si>
  <si>
    <t>1. Vào màn hình list digital tool
2. Click vào dropdown 学年・教科
3. Click vào tag level 1 ở pre-condition
4. Click vào 1 tag level 2
5. Click lại vào tag level 1 ở step 3=&gt; Kiểm tra hiển thị tag level 1,2, 3</t>
  </si>
  <si>
    <t>5. Tag level 1 ở step3 sẽ bị bỏ chọn
    List tag level 2 và 3 sẽ bị trống</t>
  </si>
  <si>
    <t>1. Vào màn hình list digital tool
2. Click vào dropdown 学年・教科
3. Click vào tag level 1 ở pre-condition
4. Click vào tag level 2 ở pre-condition
5. Click vào tag level 3 ở pre-condition
6. Kiểm tra hiển thị list tag level 4</t>
  </si>
  <si>
    <t>1. Vào màn hình list digital tool
2. Click vào dropdown 学年・教科
3. Click vào tag level 1 ở pre-condition
4. Click vào tag level 2 ở pre-condition
5. Click vào tag level 3 ở pre-condition
6. Kiểm tra hiển thị tên tag level 4</t>
  </si>
  <si>
    <t>6. Hiển thị đủ tên tag level 4</t>
  </si>
  <si>
    <t>Tag level 1 có tag level 2 
Tag level 2 có có tag level 3
Tag level 3 có tag level 4:  Tên của  tag level 4 có số ký tự dài hơn khung hiển thị</t>
  </si>
  <si>
    <t>6. Hiển thị tên đến giới hạn của khung, các từ còn lại sẽ bị cắt đi</t>
  </si>
  <si>
    <t>1. Vào màn hình list digital tool
2. Click vào dropdown 学年・教科
3. Click vào tag level 1 ở pre-condition
4. Click vào tag level 2 
5. Click vào tag level 3
6. Click vào 1 tag level 3 khác tag ở step 5=&gt; Kiểm tra hiển thị list tag level 3,4</t>
  </si>
  <si>
    <t>6. Tag level 3 ở step 5 sẽ bị bỏ chọn , tag level 3 ở step 6 sẽ hiển thị đang được chọn( hiển thị background #FFCC00)
   Hiển thị list tag level 4 thuộc về tag level 3 ở step 6</t>
  </si>
  <si>
    <t>1. Vào màn hình list digital tool
2. Click vào dropdown 学年・教科
3. Click vào tag level 1 ở pre-condition
4. Click vào tag level 2 
5. Click vào tag level 3 
6. Click lại vào tag level 3 ở step5 =&gt; Kiểm tra hiển thị list tag level 3,4</t>
  </si>
  <si>
    <t>6. Tag level 3 ở step 5 sẽ bị bỏ chọn
    List tag level 4 sẽ trống</t>
  </si>
  <si>
    <t>1. Vào màn hình list digital tool
2. Click vào dropdown 学年・教科
3. Click vào tag level 1 ở pre-condition
4. Click vào 1 tag level 2
5. Click vào 1 tag level 3
6. Click vào tag level 2 khác step 4 =&gt; Kiểm tra hiển thị list tag level 2,3,4</t>
  </si>
  <si>
    <t>6. Tag level 2 ở step 4 sẽ bị bỏ chọn, tag level 2 ở step 6 sẽ được chọn
    Hiển thị list tag level 3 của tag level 2 ở step 6 và list tag level 4 sẽ trống</t>
  </si>
  <si>
    <t>1. Vào màn hình list digital tool
2. Click vào dropdown 学年・教科
3. Click vào tag level 1 ở pre-condition
4. Click vào 1 tag level 2
5. Click vào 1 tag level 3
6. Click lại vào tag level 2 ở step 4 =&gt; Kiểm tra hiển thị list tag level 2,3,4</t>
  </si>
  <si>
    <t>6. Tag level 2 ở step 4 sẽ bị bỏ chọn
    List tag level 3,4 sẽ trống</t>
  </si>
  <si>
    <t>1. Vào màn hình list digital tool
2. Click vào dropdown 学年・教科
3. Click vào tag level 1 ở pre-condition
4. Click vào 1 tag level 2
5. Click vào 1 tag level 3
6. Click vào 1 tag level 1 khác tag ở step 3 =&gt; Kiểm tra hiển thị list tag level 1,2,3,4</t>
  </si>
  <si>
    <t>6. Tag level 1 ở step 3 sẽ bị bỏ chọn, tag level 1 ở step 6 sẽ được chọn
    Hiển thị list tag level 2 của tag level 1 ở step 6 và list tag level 3,4 sẽ trống</t>
  </si>
  <si>
    <t>1. Vào màn hình list digital tool
2. Click vào dropdown 学年・教科
3. Click vào tag level 1 ở pre-condition
4. Click vào 1 tag level 2
5. Click vào 1 tag level 3
6. Click lại vào tag level 1 ở step 3 =&gt; Kiểm tra hiển thị list tag level 1,2,3,4</t>
  </si>
  <si>
    <t>6. Tag level 1 ở step 3 sẽ bị bỏ chọn
    List tag level 2,3,4 sẽ trống</t>
  </si>
  <si>
    <t>1. Vào màn hình list digital tool
2. Click vào dropdown 学年・教科
3. Click vào tag level 1 ở pre-condition
4. Click vào 1 tag level 2
5. Click vào 1 tag level 3
6. Click vào 1 tag level 4 =&gt; Kiểm tra hiển thị</t>
  </si>
  <si>
    <t>6. Tag level 4 được chọn ( hiển thị background #FFCC00)</t>
  </si>
  <si>
    <t>1. Vào màn hình list digital tool
2. Click vào dropdown 学年・教科
3. Click vào tag level 1 ở pre-condition
4. Click vào 1 tag level 2
5. Click vào 1 tag level 3
6. Click vào 1 tag level 4
7. Click lại vào tag level 4 ở step 6 =&gt; Kiểm tra hiển thị</t>
  </si>
  <si>
    <t>7. Tag level 4 bị bỏ chọn ( mất background #FFCC00)</t>
  </si>
  <si>
    <t>1. Vào màn hình list digital tool
2. Click vào dropdown 学年・教科
3. Click vào button さがす</t>
  </si>
  <si>
    <t>2. Hiển thị màn hình kết quả với breadscrumb chỉ có text :学年・教科 không thể click
3. List data là tất cả digital tool thuộc [教科・学年]</t>
  </si>
  <si>
    <t>1. Vào màn hình list digital tool
2. Click vào dropdown 学年・教科
3. Click chọn tag level 1 có ảnh digital tool
4. Click vào button さがす</t>
  </si>
  <si>
    <t>2. Hiển thị màn hình kết quả với breadscrumb : 学年・教科 &gt; [第1層タグ] 
Với 学年・教科 là link text và [第1層タグ]  là text
3. List data hiển thị tất cả digital tool thuộc thẻ tag level 1</t>
  </si>
  <si>
    <t>1. Vào màn hình list digital tool
2. Click vào dropdown 学年・教科
3. Click chọn tag level 1 không có ảnh digital tool
4. Click vào button さがす</t>
  </si>
  <si>
    <t>2. Hiển thị màn hình kết quả với breadscrumb : 学年・教科 &gt; [第1層タグ] 
Với 学年・教科 là link text và [第1層タグ]  là text
3. List data trống</t>
  </si>
  <si>
    <t>1. Vào màn hình list digital tool
2. Click vào dropdown 学年・教科
3. Click chọn tag level 1 có tên &lt;=10 ký tự
4. Click vào button さがす</t>
  </si>
  <si>
    <t>1. Vào màn hình list digital tool
2. Click vào dropdown 学年・教科
3. Click chọn tag level 1 có tên &gt;10 ký tự
4. Click vào button さがす</t>
  </si>
  <si>
    <t>1. Vào màn hình kết quả tìm kiếm
2. Kiểm tra khi click vào link 学年・教科 ở breadscrumb</t>
  </si>
  <si>
    <t>2. Hiển thị màn hình kết quả với breadscrumb chỉ có text :学年・教科 không thể click
    List data là tất cả digital tool thuộc [教科・学年]</t>
  </si>
  <si>
    <t>1. Vào màn hình list digital tool
2. Click vào dropdown 学年・教科
3. Click chọn 1 thẻ tag level 1 có tag level 2
4. Click chọn thẻ tag level 2 có digital tool
5. Click vào button さがす</t>
  </si>
  <si>
    <t>2. Hiển thị màn hình kết quả với breadscrumb :学年・教科 &gt; [第1層タグ]  &gt; [第2層タグ]
Với : 
     学年・教科,  [第1層タグ] là link text có thể click 
      [第2層タグ]  là text không thể click
3. List data hiển thị tất cả digital tool thuộc thẻ tag level 2</t>
  </si>
  <si>
    <t>1. Vào màn hình list digital tool
2. Click vào dropdown 学年・教科
3. Click chọn 1 thẻ tag level 1 có tag level 2
4. Click chọn thẻ tag level 2 không có digital tool
5. Click vào button さがす</t>
  </si>
  <si>
    <t>2. Hiển thị màn hình kết quả với breadscrumb :学年・教科 &gt; [第1層タグ]  &gt; [第2層タグ]
Với : 
     学年・教科,  [第1層タグ] là link text có thể click 
      [第2層タグ]  là text không thể click
3. List data trống</t>
  </si>
  <si>
    <t>1. Vào màn hình list digital tool
2. Click vào dropdown 学年・教科
3. Click chọn 1 thẻ tag level 1 có tag level 2
4. Click chọn thẻ tag level 2 có tên &lt;= 10 ký tự
5. Click vào button さがす</t>
  </si>
  <si>
    <t>1. Vào màn hình list digital tool
2. Click vào dropdown 学年・教科
3. Click chọn 1 thẻ tag level 1 có tag level 2
4. Click chọn thẻ tag level 2 có tên &gt; 10 ký tự
5. Click vào button さがす</t>
  </si>
  <si>
    <t>1. Vào màn hình list digital tool
2. Click vào dropdown 学年・教科
3. Click chọn 1 thẻ tag level 1 có tag level 2
4. Click chọn thẻ tag level 2
5. Click vào button さがす</t>
  </si>
  <si>
    <t>2. Hiển thị màn hình kết quả với breadscrumb :学年・教科 &gt; [第1層タグ]  
Với : 
     学年・教科 là link text có thể click 
      [第1層タグ]  là text không thể click
- List data là tất cả digital tool thuộc tag level 1</t>
  </si>
  <si>
    <t>1. Vào màn hình list digital tool
2. Click vào dropdown 学年・教科
3. Click chọn 1 thẻ tag level 1 có tag level 2
4. Click chọn thẻ tag level 2 
5. Click vào button さがす</t>
  </si>
  <si>
    <t>1. Vào màn hình kết quả tìm kiếm
2. Kiểm tra khi click vào link  学年・教科 ở breadscrumb</t>
  </si>
  <si>
    <t>1. Vào màn hình list digital tool
2. Click vào dropdown 学年・教科
3. Click chọn 1 thẻ tag level 1 có tag level 2
4. Click chọn thẻ tag level 2 có tag level 3
5. Click chọn thẻ tag level 3 có digital tool
6. Click vào button さがす</t>
  </si>
  <si>
    <t xml:space="preserve">2. Hiển thị màn hình kết quả với breadscrumb : 学年・教科 &gt; [第1層タグ] &gt; [第2層タグ] &gt; [第3層タグ]   
Với : 
     学年・教科,  [第1層タグ] , [第2層タグ]  là link text có thể click 
      [第3層タグ]  là text không thể click
3. List data hiển thị tất cả digital tool thuộc thẻ tag level 3 </t>
  </si>
  <si>
    <t>1. Vào màn hình list digital tool
2. Click vào dropdown 学年・教科
3. Click chọn 1 thẻ tag level 1 có tag level 2
4. Click chọn thẻ tag level 2 có tag level 3
5. Click chọn thẻ tag level 3 không có digital tool
6. Click vào button さがす</t>
  </si>
  <si>
    <t>2. Hiển thị màn hình kết quả với breadscrumb : 学年・教科 &gt; [第1層タグ] &gt; [第2層タグ] &gt; [第3層タグ]   
Với : 
     学年・教科,  [第1層タグ] , [第2層タグ]  là link text có thể click 
      [第3層タグ]  là text không thể click
3. List data trống</t>
  </si>
  <si>
    <t>1. Vào màn hình list digital tool
2. Click vào dropdown 学年・教科
3. Click chọn 1 thẻ tag level 1 có tag level 2
4. Click chọn thẻ tag level 2 có tag level 3
5. Click chọn thẻ tag level 3 có tên &lt;=10 ký tự
6. Click vào button さがす</t>
  </si>
  <si>
    <t>1. Vào màn hình list digital tool
2. Click vào dropdown 学年・教科
3. Click chọn 1 thẻ tag level 1 có tag level 2
4. Click chọn thẻ tag level 2 có tag level 3
5. Click chọn thẻ tag level 3 có tên &gt;10 ký tự
6. Click vào button さがす</t>
  </si>
  <si>
    <t>1. Vào màn hình list digital tool
2. Click vào dropdown 学年・教科
3. Click chọn 1 thẻ tag level 1 có tag level 2
4. Click chọn thẻ tag level 2 có tag level 3
5. Click chọn thẻ tag level 3 
6. Click vào button さがす</t>
  </si>
  <si>
    <t>2. Hiển thị màn hình kết quả với breadscrumb :学年・教科 &gt; [第1層タグ] &gt; [第2層タグ] 
Với : 
     学年・教科,  [第1層タグ]  là link text có thể click 
      [第2層タグ]  là text không thể click
- List data là tất cả digital tool thuộc tag level 2</t>
  </si>
  <si>
    <t>2. Hiển thị màn hình kết quả với breadscrumb :学年・教科 &gt; [第1層タグ]  
Với : 
     学年・教科  là link text có thể click 
      [第1層タグ]  là text không thể click    
- List data là tất cả digital tool thuộc tag level 1</t>
  </si>
  <si>
    <t>1. Vào màn hình kết quả tìm kiếm
2. Kiểm tra click vào link  学年・教科 ở breadscrumb</t>
  </si>
  <si>
    <t>1. Vào màn hình list digital tool
2. Click vào dropdown 学年・教科
3. Click chọn 1 thẻ tag level 1 có tag level 2
4. Click chọn thẻ tag level 2 có tag level 3
5. Click chọn thẻ tag level 3 có tag level 4
6. Click chọn thẻ tag level 4 có digital tool
7. Click vào button さがす</t>
  </si>
  <si>
    <t xml:space="preserve">2. Hiển thị màn hình kết quả với breadscrumb : 学年・教科 &gt; [第1層タグ] &gt; [第2層タグ] &gt; [第3層タグ]   &gt; [第4層タグ]   
Với : 
     学年・教科,  [第1層タグ],  [第2層タグ] ,  [第3層タグ]   là link text có thể click 
      [第4層タグ]  là text không thể click
3.  List data hiển thị tất cả digital tool thuộc thẻ tag level 4 </t>
  </si>
  <si>
    <t>2. Hiển thị màn hình kết quả với breadscrumb : 学年・教科 &gt; [第1層タグ] &gt; [第2層タグ] &gt; [第3層タグ]   &gt; [第4層タグ]   
Với : 
     学年・教科,  [第1層タグ],  [第2層タグ] ,  [第3層タグ]   là link text có thể click 
      [第4層タグ]  là text không thể click
3.  List data trống</t>
  </si>
  <si>
    <t>1. Vào màn hình list digital tool
2. Click vào dropdown 学年・教科
3. Click chọn 1 thẻ tag level 1 có tag level 2
4. Click chọn thẻ tag level 2 có tag level 3
5. Click chọn thẻ tag level 3 có tag level 4
6. Click chọn thẻ tag level 4 có tên &lt;=10 ký tự
7. Click vào button さがす</t>
  </si>
  <si>
    <t>1. Vào màn hình list digital tool
2. Click vào dropdown 学年・教科
3. Click chọn 1 thẻ tag level 1 có tag level 2
4. Click chọn thẻ tag level 2 có tag level 3
5. Click chọn thẻ tag level 3 có tag level 4
6. Click chọn thẻ tag level 4 có tên &gt;10 ký tự
7. Click vào button さがす</t>
  </si>
  <si>
    <t>1. Vào màn hình list digital tool
2. Click vào dropdown 学年・教科
3. Click chọn 1 thẻ tag level 1 có tag level 2
4. Click chọn thẻ tag level 2 có tag level 3
5. Click chọn thẻ tag level 3 có tag level 4
6. Click chọn thẻ tag level 4
7. Click vào button さがす</t>
  </si>
  <si>
    <t>2. Hiển thị màn hình kết quả với breadscrumb :学年・教科 &gt; [第1層タグ] &gt; [第2層タグ] &gt; [第3層タグ] 
Với: 
     学年・教科,  [第1層タグ], [第2層タグ]  là link text có thể click
     [第3層タグ]  không thể click
- List data là tất cả digital tool thuộc tag level 3</t>
  </si>
  <si>
    <t>2. Hiển thị màn hình kết quả với breadscrumb :学年・教科 &gt; [第1層タグ] &gt; [第2層タグ] 
Với: 
     学年・教科,  [第1層タグ]  là link text có thể click
     [第2層タグ]  không thể click    
- List data là tất cả digital tool thuộc tag level 2</t>
  </si>
  <si>
    <t>2. Hiển thị màn hình kết quả với breadscrumb :学年・教科 &gt; [第1層タグ]  
Với: 
     学年・教科 là link text có thể click
     [第1層タグ]  không thể click       
- List data là tất cả digital tool thuộc tag level 1</t>
  </si>
  <si>
    <t>Kiểm tra các case FT_22 đến FT_45</t>
  </si>
  <si>
    <t xml:space="preserve">3. Điều hướng về màn list digital tool với list data </t>
  </si>
  <si>
    <t>Download ở màn hình list digital tool</t>
  </si>
  <si>
    <t>Kiểm tra hiển thị button download</t>
  </si>
  <si>
    <t>Khi chưa chọn digital tool</t>
  </si>
  <si>
    <t>1. Vào màn hình list digital tool 
2. Kiểm tra hiển thị button ダウンロード</t>
  </si>
  <si>
    <t>2. Button download bị disable</t>
  </si>
  <si>
    <t>Đã chọn digital tool</t>
  </si>
  <si>
    <t>1. Vào màn hình list digital tool 
2. Click chọn ít nhất 1 digital tool
3. Kiểm tra hiển thị button ダウンロード</t>
  </si>
  <si>
    <t>2. Button download enable</t>
  </si>
  <si>
    <t>Kiểm tra download 1 ảnh</t>
  </si>
  <si>
    <t>Device : ASUS, CHromebook</t>
  </si>
  <si>
    <t>1. Vào màn hình list digital tool 
2. Click chọn 1 digital tool
3. Click vào button ダウンロード</t>
  </si>
  <si>
    <t>3. Down ảnh digital tool vừa được chọn</t>
  </si>
  <si>
    <t>Device :Ipad</t>
  </si>
  <si>
    <t>1. Vào màn hình list digital tool 
2. Click chọn 20 digital tool
3. Click vào button ダウンロード</t>
  </si>
  <si>
    <t>3. Down tất cả ảnh digital tool vừa được chọn</t>
  </si>
  <si>
    <t>Kiểm tra download nhiều ảnh</t>
  </si>
  <si>
    <t>3. Down ảnh digital tool vừa được chọn vào file zip với tên :Emileのイラスト.zip
-&gt; sau khi click vào file zip thì hiển thị file folder chứa các ảnh digital tool đã down</t>
  </si>
  <si>
    <t>3. Down tất cả ảnh digital tool vừa được chọn vào file zip với tên :Emileのイラスト.zip
-&gt; sau khi click vào file zip thì hiển thị file folder chứa các ảnh digital tool đã down</t>
  </si>
  <si>
    <t>Kiểm tra sau khi download xong</t>
  </si>
  <si>
    <t>1. Vào màn hình list digital tool 
2. Click chọn digital tool
3. Click vào button ダウンロード</t>
  </si>
  <si>
    <t>1. Kiểm tra các digital tool được chọn ở step 2 pre-condition
2. Click button  せんたく中のイラストを見る
3. Kiểm tra list danh sách digital tool đã được chọn</t>
  </si>
  <si>
    <t xml:space="preserve">4. Tất cả các ảnh digital tool ở step 2 pre-condition  đều bị bỏ chọn
6. List danh sách digital tool được chọn đều bị xóa hết </t>
  </si>
  <si>
    <t>Kiểm tra tên ảnh tải xuống</t>
  </si>
  <si>
    <t>1. Mở folder máy tính ở chỗ lưu ảnh digital tool đã down về 
2. Kiểm tra số lượng tệp được down về
3. Kiểm tra tên tệp down về và định dạng tệp</t>
  </si>
  <si>
    <t>2.Số lượng tệp được donw về tương ứng với số digital tool được chọn trên màn hình
3. Tên tệp sẽ là tên của ảnh digital tool 
ĐỊnh dạng ảnh tùy vào định dạng được upload ở màn hình admin: JPG/PNG/JPEG/JFIF)</t>
  </si>
  <si>
    <t>Download ở màn hình kết quả tìm kiếm</t>
  </si>
  <si>
    <t>Thực hiện tương tự các case FT_178 đến FT_185</t>
  </si>
  <si>
    <t>1. Mở màn hình kết quả tìm kiếm
2. Thực hiện các case FT_178 đến FT_185</t>
  </si>
  <si>
    <t>2. Các case test đều pass</t>
  </si>
  <si>
    <t>Download chung</t>
  </si>
  <si>
    <t>Kiểm tra khi download ảnh được chọn ở cả màn list digital tool và màn kết quả tìm kiếm</t>
  </si>
  <si>
    <t xml:space="preserve">1. Vào màn hình list digital tool , Click chọn digital tool
2. Vào màn hình kết quả tìm kiếm theo 絵の しゅるい ,  click chọn digital tool 
3. Vào màn hình kết quả tìm kiếm theo 教科・学年 ,  click chọn digital tool </t>
  </si>
  <si>
    <t>1. Click button download 
2. Vào màn hình list digital tool, kiểm tra các digital tool đã chọn 
3. Vào màn kết quả tìm kiếm theo 絵の しゅるい =&gt;  kiểm tra các digital tool đã chọn 
4. Vào màn kết quả tìm kiếm theo 教科・学年 =&gt; kiểm tra các digital tool đã chọn 
5. Click button  せんたく中のイラストを見る=&gt;  Kiểm tra list danh sách digital tool đã được chọn</t>
  </si>
  <si>
    <t>2. List digital tool đều bỏ chọn
3. List digital tool đều bỏ chọn
4. List digital tool đều bỏ chọn
5. List digital tool đều đã bị xóa</t>
  </si>
  <si>
    <t>IT</t>
  </si>
  <si>
    <t>Chọn digital tool giữa các màn hình</t>
  </si>
  <si>
    <t>Kiểm tra việc chọn digital tool giữa các màn hình</t>
  </si>
  <si>
    <t>1. Vào màn hình list digital tool
2. Chọn 3 digital tool từ page 1 
3. Click vào せんたく中のイラストを見る=&gt; kiểm tra hiển thị
4. Click x ở màn hình せんたく中のイラスト
5. Chuyển qua page 2, chọn thêm 2 digital tool 
6. Click vào せんたく中のイラストを見る=&gt; kiểm tra hiển thị
7. Xóa digital tool ở vị tri số 1 =&gt; Click x ở màn hình せんたく中のイラスト
8.  Click vào dropdown 絵の しゅるい, Chọn tag level 1 và Click button さがす
9. Chọn 10 digital tool từ list digital tool của category 
10. Click vào せんたく中のイラストを見る=&gt; kiểm tra hiển thị
11. Xóa digital tool vị trí số 2 =&gt; Kiểm tra hiển thị
12. Click x ở màn hình せんたく中のイラスト, click vào biểu tượng emile -&gt; Click vào dropdown 学年・教科
13. Click button さがす, chọn 7 digital tool từ [教科・学年] 
14. Click vào せんたく中のイラストを見る=&gt; kiểm tra hiển thị
15. Xóa digital tool vị trí số 3 
16. Click x ở màn hình せんたく中のイラスト
17. Click vào biểu tượng Emile 
18. Kiểm tra list digital tool đã chọn
19. Click chuyển sang page 2, kiểm tra list digital tool đã chọn</t>
  </si>
  <si>
    <t>2. 3 digital tool được chọn hiển thị background #FFCC00 
3. Mở modal せんたく中のイラスト, 3 digital tool ở step 2 hiển thị ở 3 vị trí 1,2,3 tùy theo thứ tự click 
5. 2 digital tool được chọn hiển thị background #FFCC00 
6. Mở modal せんたく中のイラスト, 2 digital tool ở step 5 hiển thị ở 2 vị trí 4,5 tùy theo thứ tự click
7. Digital tool số 1 bị xóa , các digital tool phía sau sẽ dồn lên
8. Hiển thị màn hình search theo category : list digital tool thuộc tag level 1
 9. 10 digital tool được chọn hiển thị background #FFCC00 
10. Mở modal せんたく中のイラスト, 10 digital tool ở step 9 hiển thị ở các vị trí từ 5 tới 14 tùy theo thứ tự click 
11. Digital tool số 2 bị xóa , các digital tool phía sau sẽ dồn lên
13. Hiển thị màn hình search theo [教科・学年]: List tất cả digital tool thuộc [教科・学年]
      6 digital tool được chọn hiển thị background #FFCC00, digital tool thứ 7 sẽ không thể được chọn
14. Hiển thị đủ 20 digital tool 
15. Digital tool số 3 bị xóa , các digital tool phía sau sẽ dồn lên
17. Điều hướng về màn hình list digital tool 
18. Chỉ còn 1 digital tool được chọn 
19. Chỉ còn 1 digital tool được chọn</t>
  </si>
  <si>
    <t>Search</t>
  </si>
  <si>
    <t>Kiểm tra khi search theo keyword, category và [教科・学年]</t>
  </si>
  <si>
    <t xml:space="preserve">1. Vào màn hình list digital tool 
2. Click vào dropdown 絵の しゅるい
3. Click chọn tag level 1, Click button さがす
4. Nhập từ khóa vào textbox search, Click button さがす=&gt; Kiểm tra hiển thị
5. Click vào dropdown 絵の しゅるい
6. Click chọn tag level 1,2,3,4 và Click button さがす=&gt; Kiểm tra hiển thị </t>
  </si>
  <si>
    <t>3. Hiển thị màn hình kết quả search theo category : list digital tool thuộc về tag level 1
4. Clear điều kiện search theo category, hiển thị màn hình kết quả search theo keyword: list digital tool chứa từ khóa vừa search 
6. Clear điều kiện search theo keyword , Hiển thị màn hình kết quả search theo category : list digital tool thuộc về tag level 4</t>
  </si>
  <si>
    <t xml:space="preserve">1. Vào màn hình list digital tool 
2. Click vào dropdown 学年・教科
3. Click chọn tag level 1, Click button さがす
4. Nhập từ khóa vào textbox search, Click button さがす=&gt; Kiểm tra hiển thị
5. Click vào dropdown 学年・教科
6. Click chọn tag level 1,2 và Click button さがす=&gt;  Kiểm tra hiển thị </t>
  </si>
  <si>
    <t>3. Hiển thị màn hình kết quả search theo [教科・学年] : list digital tool thuộc về tag level 1
4. Clear điều kiện search theo [教科・学年] , hiển thị màn hình kết quả search theo keyword: list digital tool chứa từ khóa vừa search 
6. Clear điều kiện search theo keyword , Hiển thị màn hình kết quả search theo [教科・学年] : list digital tool thuộc về tag level 2</t>
  </si>
  <si>
    <t>1. Vào màn hình list digital tool 
2. Click vào dropdown 絵の しゅるい
3. Click chọn tag level 1,2 và Click button さがす
4. Đóng dropdown 絵の しゅるい, Click vào dropdown 学年・教科
5. Click chọn tag level 1,2,3 và Click button さがす
6. Click vào tên tag level 2 ở breadscrum 
7. Đóng dropdown 学年・教科, Click vào dropdown 絵の しゅるい và Click button さがす</t>
  </si>
  <si>
    <t>3. Hiển thị màn hình kết quả search theo category: list digital tool thuộc về tag level 2
5. Clear điều kiện search theo category, Hiển thị màn hình kết quả search theo [教科・学年]: list digital tool thuộc về tag level 3
6. Hiển thị màn hình kết quả search theo  [教科・学年] : list digital tool thuộc về tag level 2
7. Clear điều kiện search theo [教科・学年], Hiển thị màn hình kết quả search theo category: list tất cả digital tool của category</t>
  </si>
  <si>
    <t>ST</t>
  </si>
  <si>
    <t xml:space="preserve">Login </t>
  </si>
  <si>
    <t>Kiểm tra login</t>
  </si>
  <si>
    <t xml:space="preserve">1. Vào màn hình login
2. Click vào button google 
3. Chọn địa chỉ email chưa đăng ký trong hệ thống =&gt; Kiểm tra hiển thị 
4. Click vào button google 
5. Chọn địa chỉ email đã đăng ký trong hệ thống =&gt; Kiểm tra hiển thị
6. Click vào avatar =&gt; Click button logout 
7. Click vào button microsoft 
8. Chọn địa chỉ email chưa đăng ký trong hệ thống =&gt; Kiểm tra hiển thị 
9. Click vào button google 
10. Chọn địa chỉ email đã đăng ký trong hệ thống =&gt; Kiểm tra hiển thị
</t>
  </si>
  <si>
    <t xml:space="preserve">2. 
3. Hiển thị message lỗi: 
ログインに失敗しました。 
再度ログインするか学校管理者にお問い合わせください
4. 
5. Login thành công vào màn hình list digital tool, hiển thị UI đúng design
6. Logout ra màn login
7.
8. Hiển thị message lỗi: 
ログインに失敗しました。 
再度ログインするか学校管理者にお問い合わせください
9. 
10. Login thành công vào màn hình list digital tool, hiển thị UI đúng design
</t>
  </si>
  <si>
    <t>Kiểm tra khi thay đổi response</t>
  </si>
  <si>
    <t xml:space="preserve">Thực hiện thu nhỏ response màn hình </t>
  </si>
  <si>
    <t>1. Vào màn hình list digital tool -&gt; Kiểm tra hiển thị 
2. Click vào dropdown 絵の しゅるい -&gt; Kiểm tra hiển thị 
3. Click chọn tag level 1,2,3,4=&gt; kiểm tra hiển thị
4. Click lại vào dropdown 絵の しゅるい
5. Click vào dropdown 学年・教科=&gt; Kiểm tra hiển thị
6. Click chọn tag level 1,2,3,4=&gt; kiểm tra hiển thị
7. Click lại vào dropdown 学年・教科
8. Chọn phóng to digital tool -&gt; Kiểm tra hiển thị 
9. Click thu nhỏ digital tool -&gt; Kiểm tra hiển thị 
10. Click chọn digital tool 
11.  Click vào button せんたく中のイラストを見る=&gt; Kiểm tra hiển thị
12. Click x ở màn hình せんたく中のイラスト
13. Click vào dropdown 絵の しゅるい,click button さがす=&gt; Kiểm tra hiển thị</t>
  </si>
  <si>
    <t>1. Hiển thị list digital tool với số lượng : 6x3
2. Hiển thị list tag với 4 phần như design cũ và co chiều ngang 
3. Hiển thị đủ list tag tuong ứng với từng level 
5. Hiển thị list tag với 4 phần như design cũ và co chiều ngang 
6. Hiển thị đủ list tag tuong ứng với từng level 
8. Phóng to hình ảnh digital tool với hình chữ nhật đứng ( vì chiều ngang bị co ) 
9. Đóng phóng to digital tool 
10. Digital tool được chọn hiển thị background #FFCC00
11. Hiển thị list digital tool được chọn với 4 hàng : 5 items 1 hàng 
13. Hiển thị list digital tool với số lượng : 6x3</t>
  </si>
  <si>
    <t xml:space="preserve">Kiểm tra chọn digital tool </t>
  </si>
  <si>
    <t>1. Vào màn hình list digital tool
2. Kiểm tra hiển thị list digital tool
3. Click vào button phóng to digital tool =&gt; Kiểm tra hiển thị
4. Click button thu nhỏ digital tool =&gt; kiểm tra hiển thị
5. Click chọn 5 digital tool =&gt; kiểm tra hiển thị
6. Click button せんたく中のイラストを見る=&gt; kiểm tra hiển thị
7. Click x ở màn hình せんたく中のイラスト, Click lại vào 1 digital tool đã chọn ở step 5=&gt; kiểm tra hiển thị
8. Click button せんたく中のイラストを見る=&gt; kiểm tra hiển thị
9. Click x ở màn hình せんたく中のイラスト, Click chọn thêm 17 digital tool =&gt; kiểm tra hiển thị
10. Click button せんたく中のイラストを見る=&gt; kiểm tra hiển thị
11. Click vào xóa digital tool ở vị trí số 20 =&gt; kiểm tra hiển thị
12. Click vào xóa digital tool ở vị trí số 4=&gt; kiểm tra hiển thị
13. Click x ở màn hình せんたく中のイラスト, kiểm tra hiển thị 2 digital tool bị xóa ở step 11,12
14. Click chuyển sang page 2, chọn 1 digital tool =&gt; Kiểm tra hiển thị
15. Click button せんたく中のイラストを見る=&gt; kiểm tra hiển thị
16. Click x ở màn hình せんたく中のイラスト, chuyển về page 1=&gt; Kiểm tra các digital tool đã chọn trước đó
17. Click chọn lại 1 digital tool đang được chọn =&gt; Kiểm tra hiển thị
18. Click button せんたく中のイラストを見る=&gt; kiểm tra hiển thị</t>
  </si>
  <si>
    <t>2. Hiển thị số lượng tùy theo device :
Ipad/Asus/chromebook : 10x3
3. Phóng to ảnh digital tool
4. Thu nhỏ ảnh digital tool
5. 5 ảnh được chọn hiển thị background #FFCC00
6. Mở modal せんたく中のイラスト, Hiển thị 5 ảnh ở vị trí số 1 đến 5 theo thứ tự click ảnh
7. Digital tool được chọn lại sẽ bị bỏ chọn , mất background #FFCC00
8. Mở modal せんたく中のイラスト, hiển thị chỉ còn lại 4 ảnh digital tool ở 4 vị trí 1,2,3,4
9. 16 ảnh được chọn đầu tiên sẽ hiển thị background #FFCC00, ảnh thứ 17 sẽ không thể chọn
10. Mở modal せんたく中のイラスト, hiển thị đủ 20 ảnh digital tool ở 20 vị trí
11. Digital tool ở vị trí số 20 bị xóa
12. Digital tool ở vị trí số 4 bị xóa, các digital tool phía sau nó sẽ dồn lên
13. 2 digital tool bị bỏ chọn, mất background #FFCC00
14. Chuyển sang page 2, digital tool được chọn hiển thị background #FFCC00
15. Digital tool được chọn ở step 14 hiển thị ở vị trí số 19
16. Chuyển về page 1, 18 digital tool được chọn trước đó vẫn hiển thị đúng
17. Digital tool được chọn lại sẽ bị bỏ chọn , mất background #FFCC00
18. Mở modal せんたく中のイラスト, hiển thị 18 ảnh digital tool</t>
  </si>
  <si>
    <t>Chọn tag theo category/教科・学年</t>
  </si>
  <si>
    <t>1. Vào màn hình list digital tool
2. Click vào dropdown 絵の しゅるい
3. Click chọn tag level 1=&gt; kiểm tra hiển thị
4. Click chọn tag level 2=&gt; Kiểm tra hiển thị
5. Click chọn tag level 3 =&gt; kiểm tra hiển thị
6. Click chọn tag level 4 =&gt; Kiểm tra hiển thị
7. Click lại vào tag level 4 ở step 6=&gt; Kiểm tra hiển thị
8. Click chọn tag level 2 khác ở step 4=&gt; Kiểm tra hiển thị
9. Click chọn lại tag level 1 ở step 3=&gt; Kiểm tra hiển thị
10. Click vào dropdown 絵の しゅるい=&gt; Kiểm tra hiển thị
11. Click lại vào dropdown 絵の しゅるい=&gt; Kiểm tra hiển thị
12. Click đóng dropdown 絵の しゅるい-&gt;  Click vào dropdown 学年・教科=&gt; Kiểm tra hiển thị
13. Thực hiện lại step 3,4,5,6,7,8=&gt; Kiểm tra hiển thị
14. Click ra ngoài vùng hiển thị list tag =&gt; Kiểm tra hiển thị
15. Click vào dropdown 学年・教科=&gt; Kiểm tra hiển thịb</t>
  </si>
  <si>
    <t>2. Mở list tag theo category
3. Tag được chọn hiển thị background #FFCC00, hiển thị list tag level 2 thuộc tag level 1 được chọn
4. Tag được chọn hiển thị background #FFCC00, hiển thị list tag level 3 thuộc tag level 2 được chọn
5. Tag được chọn hiển thị background #FFCC00, hiển thị list tag level 4 thuộc tag level 3 được chọn
6. Tag được chọn hiển thị background #FFCC00, hiển thị list tag level 4 thuộc tag level 3 được chọn
7. Tag level 4 bị bỏ chọn,hiển thị background trắng
8. Tag level 2 mới được chọn, hiển thị list tag level 3 thuộc tag level 2 vừa được chọn
9. Tag level 1 mới được chọn, hiển thị list tag level 2 thuộc tag level 1 vừa được chọn
10. Đóng list tag theo category
11. Mở lại list tag theo category, trở về trạng thái ban đầu lúc chưa chọn tag level 1
12. Mở list tag theo [教科・学年], đóng list tag category
13. Outout tương tự các case 3,4,5,6,7,8 đối với list tag của [教科・学年]
14. Đóng list tag của [教科・学年]
15. Mở lại list tag theo [教科・学年], trở về trạng thái ban đầu lúc chưa chọn tag level 1</t>
  </si>
  <si>
    <t xml:space="preserve">Kiểm tra search theo keyword </t>
  </si>
  <si>
    <t xml:space="preserve">1. Tạo digital tool của category có tên là ゆきだま
2. Tạo digital tool của [教科・学年] có tên là ごむだま
3. Đăng ký keyword cho digital tool của category là 雪玉
4. Đăng ký keyword cho digital tool của [教科・学年] là ゴム玉"        </t>
  </si>
  <si>
    <t>1. Vào màn hình list digital tool
2. Nhập vào từ khóa だま, click button さがす=&gt; Kiểm tra kết quả search
3. Nhập vào text き vào trước từ khóa ở step 2, click button さがす=&gt; Kiểm tra kết quả search
4. Thay text き bằng む, click button さがす=&gt; Kiểm tra kết quả search
5. Thêm text ご trước từ khóa ở step 4, click button さがす=&gt; Kiểm tra kết quả search
6. Xóa từ khóa vừa search ở step 5, click button さがす=&gt; Kiểm tra kết quả search
7. Nhập vào từ khóa 玉, click button さがす=&gt; Kiểm tra kết quả search
8. Nhập thêm text 雪 vào trước từ khóa ở step 7, Ấn enter ở bàn phím=&gt; Kiểm tra action
9. Click vào button さがす=&gt; Kiểm tra kết quả search
10. Click vào biểu tượng emile =&gt; Kiểm tra kết quả search</t>
  </si>
  <si>
    <t>2. Hiển thị digital tool của cả category và [教科・学年] 
3. Chỉ hiển thị digital tool của category 
4. Chỉ hiển thị digital tool của [教科・学年] 
5. Chỉ hiển thị digital tool của [教科・学年] 
6. Hiển thị tất cả digital tool như ban đầu 
7. Hiển thị digital tool của cả category và [教科・学年] 
8. Không có action gì, không thể search bằng enter
9. Chỉ hiển thị digital tool của category
10. Hiển thị màn hình list digital tool và textbox trống</t>
  </si>
  <si>
    <t>Kiểm tra search theo category/ [教科・学年]</t>
  </si>
  <si>
    <t>1. Vào màn hình list digital tool
2. Click vào dropdown 絵の しゅるい
3. Click button さがす=&gt; kiểm tra hiển thị
4. Click vào biểu tượng emile,Click vào dropdown 絵の しゅるい-&gt; Chọn tag level 1=&gt;Click button さがす, kiểm tra hiển thị
5. Click vào biểu tượng emile, Click vào dropdown 絵の しゅるい
6. Chọn tag level 1,2=&gt; Click button さがす=&gt; kiểm tra hiển thị
7. Click vào tên tag level 1 ở breadscrumb =&gt; kiểm tra hiển thị
8. Click vào biểu tượng emile,Click vào dropdown 絵の しゅるい
9. Chọn tag level 1,2,3=&gt; Click button さがす=&gt; kiểm tra hiển thị
10. Click vào tên tag level 2 ở breadscrumb
11. Click vào biểu tượng emile, Click vào dropdown 絵の しゅるい
12. Chọn tag level 1,2,3=&gt; Click button さがす=&gt; kiểm tra hiển thị
13. Click vào tên tag level 1 ở breadscrumb
14. Click vào biểu tượng emile, Click vào dropdown 絵の しゅるい
15. Chọn tag level 1,2,3,4=&gt; Click button さがす=&gt; kiểm tra hiển thị
16. Click vào tên tag level 3 ở breadscrumb =&gt; Kiểm tra hiển thị
17. Click button phóng to rồi click thu nhỏ digital tool =&gt; kiểm tra hiển thị
18. Click chọn 4 digital tool =&gt; kiểm tra hiển thị
19. Click chọn lại 1 digital tool đã chọn ở step 18=&gt; kiểm tra hiển thị
20. Click button せんたく中のイラストを見る=&gt; kiểm tra hiển thị
21. Click xóa 1 digital tool ở vị trí số 1=&gt; kiểm tra hiển thị
22. Click x ở màn hình せんたく中のイラスト
23. Click button emile, click  vào dropdown 学年・教科
24. Thực hiện tương tự steps 3 đến step 22 với 学年・教科</t>
  </si>
  <si>
    <t>3. Mở màn hình kết quả tìm kiếm với list data là tất cả digital tool thuộc category
4. Mở màn hình kết quả tìm kiếm với list data là các digital tool thuộc tag level 1
6. Mở màn hình kết quả tìm kiếm với list data là các digital tool thuộc tag level 2
7. Output giống step 1
9. Mở màn hình kết quả tìm kiếm với list data là các digital tool thuộc tag level 3
10. Output giống step 6
12. Output giống step 9
13. Output giống step 4
15. Mở màn hình kết quả tìm kiếm với list data là các digital tool thuộc tag level 4
16. Output giống step 9
17. Phóng to hình ảnh digital tool =&gt; sau đó thu nhỏ hình ảnh về ban đầu
18. 4 digital tool được chọn, hiển thị background #FFCC00
19. Digital tool được chọn bị mất background #FFCC00
20. Mở modal せんたく中のイラスト, hiển thị 3 digital tool ở 3 vị trí 1,2,3
21. Digital tool ở vị trí 1 bị xóa, 2 digital tool sau sẽ dồn lên vị trí 1,2
22. Đóng modal せんたく中のイラスト
23. Mở màn hình kết quả tìm kiếm với list data là tất cả digital tool thuộc 学年・教科
24. Pass tất cả các case</t>
  </si>
  <si>
    <t>Kiểm tra download</t>
  </si>
  <si>
    <t>1. Vào màn hình list digital tool
2. Chưa chọn digital tool nào =&gt; Kiểm tra hiển thị button download
3. Click chọn 1 digital tool =&gt; Kiểm tra hiển thị button download
4. Click button download 1 digital tool đã chọn =&gt; Kiểm tra hiển thị digital tool sau khi down thành công
5. Mở folder, kiểm tra tên tệp và định dạng tệp
6. Mở lại hệ thống , click chọn 10 ảnh digital tool ở page 1 và 10 ảnh digital tool ở page 2, click button download
7. Kiểm tra digital tool đã chọn sau khi down thành công
8. Mở folder, kiểm tra số lượng ảnh down về, tên tệp và định dạng tệp
9. Mở lại hệ thống , click chọn 10 ảnh digital tool ở màn list digital tool
10. Click vào dropdown 絵の しゅるい, click button さがす
11. Chọn 5 ảnh digital tool từ category
12. Click vào dropdown 学年・教科, click button さがす
13. Chọn 5 ảnh digital tool từ category
14. Click button download =&gt; Kiểm tra hiển thị digital tool sau khi down thành công
15. Mở folder, kiểm tra tên tệp và định dạng tệp
16. Mở lại list digital tool, click chọn 1 digital tool 
17. Click button download nhanh và liên tục =&gt; Mở folder, kiểm tra tên tệp và định dạng tệp</t>
  </si>
  <si>
    <t>2. Button download bị disbale
3. Button download enble
4. Down digital đã chọn thành công, sau khi down thì bỏ chọn digital tool đo trên màn hình
5. Tên tệp là tên ảnh , định dạng tệp là định dạng tương ứng bên admin upload
6. Download 20 ảnh digital tool
7. Sau khi donwload thì bỏ chọn tất cả digital tool đã down
8. Down đủ 20 ảnh, tên và định dạng tương ứng với ảnh ở bên admin
14. Down 20 ảnh thành công , mở lần lượt list digital tool, list digital tool thuộc category và list digital tool thuộc [教科・学年] để check đã bỏ chọn tất cả digital tool được down về
15. Down đủ 20 ảnh, tên và định dạng tương ứng với ảnh ở bên admin
17. Chỉ down ảnh digital tool 1 lần</t>
  </si>
  <si>
    <t>No</t>
  </si>
  <si>
    <t>Case data test</t>
  </si>
  <si>
    <t>Steps đối với 絵の しゅるい hoặc 学年・教科</t>
  </si>
  <si>
    <t>Chọn tag trên màn hình</t>
  </si>
  <si>
    <t>Tag lv1</t>
  </si>
  <si>
    <t>tag lv2</t>
  </si>
  <si>
    <t>tag lv3</t>
  </si>
  <si>
    <t>tag lv4</t>
  </si>
  <si>
    <t>Have 1 paging</t>
  </si>
  <si>
    <t>絵の しゅるい: Chọn tag 1,2,3 và click button search</t>
  </si>
  <si>
    <t>きる・はる: tag 3 hàng 1</t>
  </si>
  <si>
    <t>きる・はる: tag 1 hàng 1</t>
  </si>
  <si>
    <t>tag đầu tiên</t>
  </si>
  <si>
    <t>学年・教科: Chọn tag 1,2 và  click button search</t>
  </si>
  <si>
    <t>国語 : tag 2 hàng 1</t>
  </si>
  <si>
    <t>3年生</t>
  </si>
  <si>
    <t>Have 5 paging</t>
  </si>
  <si>
    <t>絵の しゅるい: Chọn tag 1 và click button search</t>
  </si>
  <si>
    <t>きる・はる: tag 1 hàng 2</t>
  </si>
  <si>
    <t>学年・教科: Chọn tag 1 và click button search</t>
  </si>
  <si>
    <t>国語 : tag 3 hàng 1</t>
  </si>
  <si>
    <t>Có &gt; 10 tag level 3,4</t>
  </si>
  <si>
    <t>絵の しゅるい</t>
  </si>
  <si>
    <t>学年・教科</t>
  </si>
  <si>
    <t>1年生</t>
  </si>
  <si>
    <t>Tag đầu tiên</t>
  </si>
  <si>
    <t>Số ký tự tag lv 3,4 &lt; khung hiển thị</t>
  </si>
  <si>
    <t>Số ký tự tag lv3,4 &gt; khung hiển thị</t>
  </si>
  <si>
    <t>きる・はる: tag 2 hàng 2</t>
  </si>
  <si>
    <t>&gt; 18 items tag level 1,2</t>
  </si>
  <si>
    <t>Bên category là &gt; 18 items (きる・はる: tag 3 hàng 1) , còn bên Subject là &lt; 18 items</t>
  </si>
  <si>
    <t xml:space="preserve">&lt; 18 items tag level 1,2 </t>
  </si>
  <si>
    <t>Tag lv 1 không có digital tool</t>
  </si>
  <si>
    <t>文ぼうぐ: tag 2 hàng 6</t>
  </si>
  <si>
    <t xml:space="preserve">国語 : tag 3 hàng 3 </t>
  </si>
  <si>
    <t>Tag lv 2 không có digital tool</t>
  </si>
  <si>
    <t>文ぼうぐ: tag 1 hàng 6</t>
  </si>
  <si>
    <t>文ぼうぐ</t>
  </si>
  <si>
    <t>国語</t>
  </si>
  <si>
    <t>Tag lv 3 không có digital tool</t>
  </si>
  <si>
    <t>Tag lv 4 không có digital tool</t>
  </si>
  <si>
    <t>Tag lv 1 có digital tool</t>
  </si>
  <si>
    <t xml:space="preserve">国語 : tag 2 hàng 1  </t>
  </si>
  <si>
    <t>Tag lv 2 có digital tool</t>
  </si>
  <si>
    <t>きる・はる: tag 2 hàng 1</t>
  </si>
  <si>
    <t>Tag lv 3 có digital tool</t>
  </si>
  <si>
    <t>Tag lv 4 có digital tool</t>
  </si>
  <si>
    <t>国語 : tag cuối cùng</t>
  </si>
  <si>
    <t>Số ký tự của tag lv 1,2,3,4 &gt; 10 ký tự</t>
  </si>
  <si>
    <t>第3層10文字以上のタグ</t>
  </si>
  <si>
    <t>第4層10文字以上のタグ</t>
  </si>
  <si>
    <t>https://gyazo.com/d4481a49f030c9ccac05cf903e80944b</t>
  </si>
  <si>
    <t>Tag level 1 cuối cùng</t>
  </si>
  <si>
    <t>国語 : tag 1 hàng 3</t>
  </si>
  <si>
    <t>https://gyazo.com/1dd9ca0eaaafa161e00a3b942022ed53</t>
  </si>
  <si>
    <t xml:space="preserve">　</t>
  </si>
  <si>
    <t>テストケース</t>
  </si>
  <si>
    <t>絵のしゅるいまたは学年・教科</t>
  </si>
  <si>
    <t>画面上のタグを選択します</t>
  </si>
  <si>
    <t>タグLv1</t>
  </si>
  <si>
    <t>タグLv2</t>
  </si>
  <si>
    <t>タグLv3</t>
  </si>
  <si>
    <t>タグLv4</t>
  </si>
  <si>
    <t>1ページあります</t>
  </si>
  <si>
    <t>絵のしゅるい: タグ1、2、3を選択して検索ボタンをクリックしてください</t>
  </si>
  <si>
    <t>きる・はる: タグ 3 1行目</t>
  </si>
  <si>
    <t>きる・はる: タグ 1 1行目</t>
  </si>
  <si>
    <t>最初のタグ</t>
  </si>
  <si>
    <t>学年・教科：タグ1、2を選択して検索ボタンをクリックしてください</t>
  </si>
  <si>
    <t>国語 : タグ 2 1行目</t>
  </si>
  <si>
    <t>5ページあります</t>
  </si>
  <si>
    <t>絵のしゅるい：タグ1を選択して検索ボタンをクリック</t>
  </si>
  <si>
    <t xml:space="preserve">きる・はる: タグ 1 2行目 </t>
  </si>
  <si>
    <t>学年・教科：タグ1を選択して検索ボタンをクリックしてください</t>
  </si>
  <si>
    <t>国語 : タグ 3 1行目</t>
  </si>
  <si>
    <t>レベル 3、4 のタグが 10 個以上あります</t>
  </si>
  <si>
    <t>絵のしゅるい</t>
  </si>
  <si>
    <t>タグレベル3,4の文字数 &lt; 表示フレーム</t>
  </si>
  <si>
    <t>タグレベル3,4の文字数 &gt; 表示フレーム</t>
  </si>
  <si>
    <t xml:space="preserve">きる・はる: タグ 2 2行目 </t>
  </si>
  <si>
    <t>&gt; 18 アイテムのタグ レベル 1、2</t>
  </si>
  <si>
    <t>カテゴリ側が 18 件以上 (きる・はる: タグ 3 1行目)、件名側が 18 件未満</t>
  </si>
  <si>
    <t xml:space="preserve">&lt; 18 アイテムのタグ レベル 1、2 </t>
  </si>
  <si>
    <t>タグレベル 1 にはデジタルツールがありません</t>
  </si>
  <si>
    <t>文ぼうぐ: タグ 26行目</t>
  </si>
  <si>
    <t>国語 : タグ 3 3行目</t>
  </si>
  <si>
    <t>タグレベル 2 にはデジタルツールがありません</t>
  </si>
  <si>
    <t>文ぼうぐ: タグ 16行目</t>
  </si>
  <si>
    <t>タグレベル 3 にはデジタルツールがありません</t>
  </si>
  <si>
    <t>タグレベル 4 にはデジタルツールがありません</t>
  </si>
  <si>
    <t>タグレベル 1 にはデジタルツールがあります</t>
  </si>
  <si>
    <t xml:space="preserve">国語 : タグ 2 1行目  </t>
  </si>
  <si>
    <t>タグレベル 2 にはデジタルツールがあります</t>
  </si>
  <si>
    <t>きる・はる: タグ 2 1行目</t>
  </si>
  <si>
    <t>タグレベル3にはデジタルツールがあります</t>
  </si>
  <si>
    <t>タグ レベル 4 にはデジタル ツールがあります</t>
  </si>
  <si>
    <t>国語 : 最後のタグ</t>
  </si>
  <si>
    <t>国語：最後のタグ</t>
  </si>
  <si>
    <t>レベル 1、2、3、4 タグの文字数 &gt; 10 文字</t>
  </si>
  <si>
    <t>タグ 1　一番最後</t>
  </si>
  <si>
    <t>国語 : タグ 1 ３行目</t>
  </si>
  <si>
    <t>OK</t>
  </si>
  <si>
    <t>NG</t>
  </si>
  <si>
    <t>NA</t>
  </si>
  <si>
    <t>s</t>
  </si>
  <si>
    <t>ST_2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</si>
</sst>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409]d\-mmm\-yy"/>
    <numFmt numFmtId="166" formatCode="yyyy/m/d h:mm:ss"/>
  </numFmts>
  <fonts count="20">
    <font>
      <sz val="10.0"/>
      <color rgb="FF000000"/>
      <name val="Arial"/>
      <scheme val="minor"/>
    </font>
    <font>
      <color theme="1"/>
      <name val="Arial"/>
    </font>
    <font>
      <b/>
      <sz val="30.0"/>
      <color rgb="FF993300"/>
      <name val="Times New Roman"/>
    </font>
    <font/>
    <font>
      <b/>
      <sz val="12.0"/>
      <color rgb="FF993300"/>
      <name val="Times New Roman"/>
    </font>
    <font>
      <i/>
      <sz val="12.0"/>
      <color theme="1"/>
      <name val="Times New Roman"/>
    </font>
    <font>
      <sz val="12.0"/>
      <color theme="1"/>
      <name val="Times New Roman"/>
    </font>
    <font>
      <b/>
      <sz val="12.0"/>
      <color rgb="FFFFFFFF"/>
      <name val="Times New Roman"/>
    </font>
    <font>
      <b/>
      <sz val="11.0"/>
      <color theme="1"/>
      <name val="Times New Roman"/>
    </font>
    <font>
      <b/>
      <color theme="1"/>
      <name val="Arial"/>
    </font>
    <font>
      <sz val="11.0"/>
      <color theme="1"/>
      <name val="Times New Roman"/>
    </font>
    <font>
      <u/>
      <sz val="11.0"/>
      <color rgb="FF0000FF"/>
      <name val="Times New Roman"/>
    </font>
    <font>
      <b/>
      <color rgb="FF000000"/>
      <name val="Arial"/>
    </font>
    <font>
      <color rgb="FFFF0000"/>
      <name val="Arial"/>
    </font>
    <font>
      <sz val="11.0"/>
      <color rgb="FFFF0000"/>
      <name val="Lato"/>
    </font>
    <font>
      <u/>
      <color rgb="FF0000FF"/>
    </font>
    <font>
      <sz val="11.0"/>
      <color rgb="FFFF0000"/>
      <name val="Arial"/>
    </font>
    <font>
      <sz val="11.0"/>
      <color rgb="FFFF0000"/>
      <name val="Times New Roman"/>
    </font>
    <font>
      <sz val="9.0"/>
      <color theme="1"/>
      <name val="Times New Roman"/>
    </font>
    <font>
      <sz val="11.0"/>
      <color rgb="FF000000"/>
      <name val="Times New Roman"/>
    </font>
  </fonts>
  <fills count="11">
    <fill>
      <patternFill patternType="none"/>
    </fill>
    <fill>
      <patternFill patternType="lightGray"/>
    </fill>
    <fill>
      <patternFill patternType="solid">
        <fgColor rgb="FFFFFFFF"/>
        <bgColor rgb="FFFFFFFF"/>
      </patternFill>
    </fill>
    <fill>
      <patternFill patternType="solid">
        <fgColor rgb="FF0070C0"/>
        <bgColor rgb="FF0070C0"/>
      </patternFill>
    </fill>
    <fill>
      <patternFill patternType="solid">
        <fgColor rgb="FFFFFF00"/>
        <bgColor rgb="FFFFFF00"/>
      </patternFill>
    </fill>
    <fill>
      <patternFill patternType="solid">
        <fgColor rgb="FF6FA8DC"/>
        <bgColor rgb="FF6FA8DC"/>
      </patternFill>
    </fill>
    <fill>
      <patternFill patternType="solid">
        <fgColor rgb="FFCC0000"/>
        <bgColor rgb="FFCC0000"/>
      </patternFill>
    </fill>
    <fill>
      <patternFill patternType="solid">
        <fgColor rgb="FFF9CB9C"/>
        <bgColor rgb="FFF9CB9C"/>
      </patternFill>
    </fill>
    <fill>
      <patternFill patternType="solid">
        <fgColor rgb="FF9FC5E8"/>
        <bgColor rgb="FF9FC5E8"/>
      </patternFill>
    </fill>
    <fill>
      <patternFill patternType="solid">
        <fgColor rgb="FFF8F8F8"/>
        <bgColor rgb="FFF8F8F8"/>
      </patternFill>
    </fill>
    <fill>
      <patternFill patternType="solid">
        <fgColor rgb="FFFF0000"/>
        <bgColor rgb="FFFF0000"/>
      </patternFill>
    </fill>
  </fills>
  <borders count="15">
    <border/>
    <border>
      <bottom style="thin">
        <color rgb="FF000000"/>
      </bottom>
    </border>
    <border>
      <right style="thin">
        <color rgb="FF000000"/>
      </right>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2" fillId="0" fontId="1" numFmtId="0" xfId="0" applyAlignment="1" applyBorder="1" applyFont="1">
      <alignment vertical="bottom"/>
    </xf>
    <xf borderId="1" fillId="2" fontId="2" numFmtId="0" xfId="0" applyAlignment="1" applyBorder="1" applyFill="1" applyFont="1">
      <alignment horizontal="center" vertical="bottom"/>
    </xf>
    <xf borderId="1" fillId="0" fontId="3" numFmtId="0" xfId="0" applyBorder="1" applyFont="1"/>
    <xf borderId="3" fillId="0" fontId="3" numFmtId="0" xfId="0" applyBorder="1" applyFont="1"/>
    <xf borderId="3" fillId="2" fontId="4" numFmtId="0" xfId="0" applyAlignment="1" applyBorder="1" applyFont="1">
      <alignment vertical="bottom"/>
    </xf>
    <xf borderId="1" fillId="2" fontId="5" numFmtId="49" xfId="0" applyAlignment="1" applyBorder="1" applyFont="1" applyNumberFormat="1">
      <alignment vertical="bottom"/>
    </xf>
    <xf borderId="3" fillId="2" fontId="6" numFmtId="49" xfId="0" applyAlignment="1" applyBorder="1" applyFont="1" applyNumberFormat="1">
      <alignment vertical="bottom"/>
    </xf>
    <xf borderId="3" fillId="2" fontId="5" numFmtId="164" xfId="0" applyAlignment="1" applyBorder="1" applyFont="1" applyNumberFormat="1">
      <alignment horizontal="center" vertical="bottom"/>
    </xf>
    <xf borderId="1" fillId="2" fontId="1" numFmtId="0" xfId="0" applyAlignment="1" applyBorder="1" applyFont="1">
      <alignment vertical="bottom"/>
    </xf>
    <xf borderId="1" fillId="2" fontId="4" numFmtId="0" xfId="0" applyAlignment="1" applyBorder="1" applyFont="1">
      <alignment vertical="bottom"/>
    </xf>
    <xf borderId="3" fillId="2" fontId="1" numFmtId="49" xfId="0" applyAlignment="1" applyBorder="1" applyFont="1" applyNumberFormat="1">
      <alignment vertical="bottom"/>
    </xf>
    <xf borderId="3" fillId="2" fontId="1" numFmtId="14" xfId="0" applyAlignment="1" applyBorder="1" applyFont="1" applyNumberFormat="1">
      <alignment vertical="bottom"/>
    </xf>
    <xf borderId="4" fillId="2" fontId="4" numFmtId="0" xfId="0" applyAlignment="1" applyBorder="1" applyFont="1">
      <alignment vertical="bottom"/>
    </xf>
    <xf borderId="4" fillId="0" fontId="3" numFmtId="0" xfId="0" applyBorder="1" applyFont="1"/>
    <xf borderId="5" fillId="0" fontId="3" numFmtId="0" xfId="0" applyBorder="1" applyFont="1"/>
    <xf borderId="1" fillId="2" fontId="6" numFmtId="0" xfId="0" applyAlignment="1" applyBorder="1" applyFont="1">
      <alignment shrinkToFit="0" vertical="bottom" wrapText="1"/>
    </xf>
    <xf borderId="3" fillId="3" fontId="7" numFmtId="165" xfId="0" applyAlignment="1" applyBorder="1" applyFill="1" applyFont="1" applyNumberFormat="1">
      <alignment horizontal="center" shrinkToFit="0" vertical="bottom" wrapText="1"/>
    </xf>
    <xf borderId="3" fillId="3" fontId="7" numFmtId="0" xfId="0" applyAlignment="1" applyBorder="1" applyFont="1">
      <alignment horizontal="center" shrinkToFit="0" vertical="bottom" wrapText="1"/>
    </xf>
    <xf borderId="3" fillId="2" fontId="1" numFmtId="0" xfId="0" applyAlignment="1" applyBorder="1" applyFont="1">
      <alignment vertical="bottom"/>
    </xf>
    <xf borderId="3" fillId="2" fontId="1" numFmtId="15" xfId="0" applyAlignment="1" applyBorder="1" applyFont="1" applyNumberFormat="1">
      <alignment vertical="bottom"/>
    </xf>
    <xf borderId="6" fillId="4" fontId="8" numFmtId="0" xfId="0" applyAlignment="1" applyBorder="1" applyFill="1" applyFont="1">
      <alignment shrinkToFit="0" vertical="bottom" wrapText="1"/>
    </xf>
    <xf borderId="7" fillId="4" fontId="8" numFmtId="0" xfId="0" applyAlignment="1" applyBorder="1" applyFont="1">
      <alignment horizontal="left" shrinkToFit="0" vertical="top" wrapText="1"/>
    </xf>
    <xf borderId="8" fillId="5" fontId="8" numFmtId="0" xfId="0" applyAlignment="1" applyBorder="1" applyFill="1" applyFont="1">
      <alignment horizontal="left" shrinkToFit="0" vertical="center" wrapText="1"/>
    </xf>
    <xf borderId="2" fillId="5" fontId="8" numFmtId="0" xfId="0" applyAlignment="1" applyBorder="1" applyFont="1">
      <alignment shrinkToFit="0" vertical="center" wrapText="1"/>
    </xf>
    <xf borderId="2" fillId="5" fontId="8" numFmtId="0" xfId="0" applyAlignment="1" applyBorder="1" applyFont="1">
      <alignment horizontal="left" shrinkToFit="0" vertical="center" wrapText="1"/>
    </xf>
    <xf borderId="1" fillId="5" fontId="8" numFmtId="0" xfId="0" applyAlignment="1" applyBorder="1" applyFont="1">
      <alignment horizontal="left" shrinkToFit="0" vertical="center" wrapText="1"/>
    </xf>
    <xf borderId="0" fillId="5" fontId="8" numFmtId="0" xfId="0" applyAlignment="1" applyFont="1">
      <alignment horizontal="left" shrinkToFit="0" vertical="center" wrapText="1"/>
    </xf>
    <xf borderId="2" fillId="0" fontId="3" numFmtId="0" xfId="0" applyBorder="1" applyFont="1"/>
    <xf borderId="2" fillId="5" fontId="8" numFmtId="165" xfId="0" applyAlignment="1" applyBorder="1" applyFont="1" applyNumberFormat="1">
      <alignment horizontal="left" shrinkToFit="0" vertical="center" wrapText="1"/>
    </xf>
    <xf borderId="8" fillId="0" fontId="3" numFmtId="0" xfId="0" applyBorder="1" applyFont="1"/>
    <xf borderId="7" fillId="5" fontId="8" numFmtId="0" xfId="0" applyAlignment="1" applyBorder="1" applyFont="1">
      <alignment horizontal="left" shrinkToFit="0" vertical="center" wrapText="1"/>
    </xf>
    <xf borderId="6" fillId="0" fontId="3" numFmtId="0" xfId="0" applyBorder="1" applyFont="1"/>
    <xf borderId="3" fillId="5" fontId="8" numFmtId="0" xfId="0" applyAlignment="1" applyBorder="1" applyFont="1">
      <alignment horizontal="left" shrinkToFit="0" vertical="center" wrapText="1"/>
    </xf>
    <xf borderId="9" fillId="5" fontId="9" numFmtId="0" xfId="0" applyAlignment="1" applyBorder="1" applyFont="1">
      <alignment horizontal="left" shrinkToFit="0" vertical="center" wrapText="1"/>
    </xf>
    <xf borderId="5" fillId="5" fontId="9" numFmtId="0" xfId="0" applyAlignment="1" applyBorder="1" applyFont="1">
      <alignment horizontal="left" shrinkToFit="0" vertical="center" wrapText="1"/>
    </xf>
    <xf borderId="9" fillId="2" fontId="10" numFmtId="0" xfId="0" applyAlignment="1" applyBorder="1" applyFont="1">
      <alignment vertical="top"/>
    </xf>
    <xf borderId="9" fillId="2" fontId="10" numFmtId="0" xfId="0" applyAlignment="1" applyBorder="1" applyFont="1">
      <alignment shrinkToFit="0" vertical="top" wrapText="1"/>
    </xf>
    <xf borderId="3" fillId="6" fontId="10" numFmtId="0" xfId="0" applyAlignment="1" applyBorder="1" applyFill="1" applyFont="1">
      <alignment horizontal="left" shrinkToFit="0" vertical="center" wrapText="1"/>
    </xf>
    <xf borderId="3" fillId="2" fontId="10" numFmtId="0" xfId="0" applyAlignment="1" applyBorder="1" applyFont="1">
      <alignment horizontal="left" vertical="center"/>
    </xf>
    <xf borderId="9" fillId="2" fontId="1" numFmtId="0" xfId="0" applyAlignment="1" applyBorder="1" applyFont="1">
      <alignment horizontal="left" vertical="center"/>
    </xf>
    <xf borderId="3" fillId="2" fontId="1" numFmtId="166" xfId="0" applyAlignment="1" applyBorder="1" applyFont="1" applyNumberFormat="1">
      <alignment horizontal="left" vertical="center"/>
    </xf>
    <xf borderId="9" fillId="0" fontId="10" numFmtId="0" xfId="0" applyAlignment="1" applyBorder="1" applyFont="1">
      <alignment shrinkToFit="0" wrapText="1"/>
    </xf>
    <xf borderId="0" fillId="0" fontId="1" numFmtId="0" xfId="0" applyAlignment="1" applyFont="1">
      <alignment shrinkToFit="0" wrapText="1"/>
    </xf>
    <xf borderId="0" fillId="0" fontId="1" numFmtId="0" xfId="0" applyAlignment="1" applyFont="1">
      <alignment horizontal="left" vertical="center"/>
    </xf>
    <xf borderId="7" fillId="7" fontId="9" numFmtId="0" xfId="0" applyAlignment="1" applyBorder="1" applyFill="1" applyFont="1">
      <alignment vertical="top"/>
    </xf>
    <xf borderId="9" fillId="2" fontId="11" numFmtId="0" xfId="0" applyAlignment="1" applyBorder="1" applyFont="1">
      <alignment shrinkToFit="0" vertical="top" wrapText="1"/>
    </xf>
    <xf borderId="9" fillId="2" fontId="1" numFmtId="0" xfId="0" applyAlignment="1" applyBorder="1" applyFont="1">
      <alignment vertical="top"/>
    </xf>
    <xf borderId="9" fillId="2" fontId="1" numFmtId="0" xfId="0" applyBorder="1" applyFont="1"/>
    <xf borderId="3" fillId="2" fontId="1" numFmtId="166" xfId="0" applyBorder="1" applyFont="1" applyNumberFormat="1"/>
    <xf borderId="10" fillId="8" fontId="12" numFmtId="0" xfId="0" applyAlignment="1" applyBorder="1" applyFill="1" applyFont="1">
      <alignment horizontal="left" vertical="center"/>
    </xf>
    <xf borderId="10" fillId="8" fontId="12" numFmtId="0" xfId="0" applyAlignment="1" applyBorder="1" applyFont="1">
      <alignment shrinkToFit="0" vertical="center" wrapText="1"/>
    </xf>
    <xf borderId="7" fillId="8" fontId="12" numFmtId="0" xfId="0" applyBorder="1" applyFont="1"/>
    <xf borderId="9" fillId="8" fontId="12" numFmtId="0" xfId="0" applyBorder="1" applyFont="1"/>
    <xf borderId="9" fillId="0" fontId="1" numFmtId="0" xfId="0" applyAlignment="1" applyBorder="1" applyFont="1">
      <alignment horizontal="left" vertical="center"/>
    </xf>
    <xf borderId="10" fillId="0" fontId="1" numFmtId="0" xfId="0" applyAlignment="1" applyBorder="1" applyFont="1">
      <alignment horizontal="left" vertical="center"/>
    </xf>
    <xf borderId="9" fillId="0" fontId="1" numFmtId="0" xfId="0" applyAlignment="1" applyBorder="1" applyFont="1">
      <alignment shrinkToFit="0" wrapText="1"/>
    </xf>
    <xf borderId="9" fillId="0" fontId="1" numFmtId="0" xfId="0" applyBorder="1" applyFont="1"/>
    <xf borderId="11" fillId="0" fontId="1" numFmtId="0" xfId="0" applyAlignment="1" applyBorder="1" applyFont="1">
      <alignment vertical="center"/>
    </xf>
    <xf borderId="12" fillId="0" fontId="3" numFmtId="0" xfId="0" applyBorder="1" applyFont="1"/>
    <xf borderId="13" fillId="0" fontId="3" numFmtId="0" xfId="0" applyBorder="1" applyFont="1"/>
    <xf borderId="14" fillId="0" fontId="3" numFmtId="0" xfId="0" applyBorder="1" applyFont="1"/>
    <xf borderId="9" fillId="0" fontId="1" numFmtId="0" xfId="0" applyAlignment="1" applyBorder="1" applyFont="1">
      <alignment shrinkToFit="0" vertical="bottom" wrapText="1"/>
    </xf>
    <xf borderId="9" fillId="0" fontId="13" numFmtId="0" xfId="0" applyBorder="1" applyFont="1"/>
    <xf borderId="9" fillId="9" fontId="14" numFmtId="0" xfId="0" applyAlignment="1" applyBorder="1" applyFill="1" applyFont="1">
      <alignment horizontal="left"/>
    </xf>
    <xf borderId="0" fillId="0" fontId="15" numFmtId="0" xfId="0" applyFont="1"/>
    <xf borderId="9" fillId="9" fontId="16" numFmtId="0" xfId="0" applyAlignment="1" applyBorder="1" applyFont="1">
      <alignment horizontal="left"/>
    </xf>
    <xf borderId="0" fillId="4" fontId="8" numFmtId="0" xfId="0" applyAlignment="1" applyFont="1">
      <alignment horizontal="left" shrinkToFit="0" vertical="top" wrapText="1"/>
    </xf>
    <xf borderId="9" fillId="10" fontId="1" numFmtId="0" xfId="0" applyAlignment="1" applyBorder="1" applyFill="1" applyFont="1">
      <alignment horizontal="left" vertical="center"/>
    </xf>
    <xf borderId="9" fillId="2" fontId="17" numFmtId="0" xfId="0" applyAlignment="1" applyBorder="1" applyFont="1">
      <alignment shrinkToFit="0" vertical="top" wrapText="1"/>
    </xf>
    <xf borderId="9" fillId="0" fontId="10" numFmtId="0" xfId="0" applyAlignment="1" applyBorder="1" applyFont="1">
      <alignment shrinkToFit="0" vertical="top" wrapText="1"/>
    </xf>
    <xf borderId="9" fillId="4" fontId="1" numFmtId="0" xfId="0" applyAlignment="1" applyBorder="1" applyFont="1">
      <alignment horizontal="left" vertical="center"/>
    </xf>
    <xf borderId="9" fillId="10" fontId="10" numFmtId="0" xfId="0" applyAlignment="1" applyBorder="1" applyFont="1">
      <alignment vertical="top"/>
    </xf>
    <xf borderId="9" fillId="10" fontId="10" numFmtId="0" xfId="0" applyAlignment="1" applyBorder="1" applyFont="1">
      <alignment shrinkToFit="0" vertical="top" wrapText="1"/>
    </xf>
    <xf borderId="3" fillId="10" fontId="10" numFmtId="0" xfId="0" applyAlignment="1" applyBorder="1" applyFont="1">
      <alignment horizontal="left" shrinkToFit="0" vertical="center" wrapText="1"/>
    </xf>
    <xf borderId="3" fillId="10" fontId="10" numFmtId="0" xfId="0" applyAlignment="1" applyBorder="1" applyFont="1">
      <alignment horizontal="left" vertical="center"/>
    </xf>
    <xf borderId="9" fillId="10" fontId="1" numFmtId="0" xfId="0" applyBorder="1" applyFont="1"/>
    <xf borderId="3" fillId="10" fontId="1" numFmtId="166" xfId="0" applyBorder="1" applyFont="1" applyNumberFormat="1"/>
    <xf borderId="9" fillId="0" fontId="10" numFmtId="0" xfId="0" applyAlignment="1" applyBorder="1" applyFont="1">
      <alignment vertical="top"/>
    </xf>
    <xf borderId="3" fillId="0" fontId="10" numFmtId="0" xfId="0" applyAlignment="1" applyBorder="1" applyFont="1">
      <alignment horizontal="left" shrinkToFit="0" vertical="center" wrapText="1"/>
    </xf>
    <xf borderId="3" fillId="0" fontId="10" numFmtId="0" xfId="0" applyAlignment="1" applyBorder="1" applyFont="1">
      <alignment horizontal="left" vertical="center"/>
    </xf>
    <xf borderId="3" fillId="0" fontId="1" numFmtId="166" xfId="0" applyBorder="1" applyFont="1" applyNumberFormat="1"/>
    <xf borderId="9" fillId="2" fontId="18" numFmtId="0" xfId="0" applyAlignment="1" applyBorder="1" applyFont="1">
      <alignment shrinkToFit="0" vertical="top" wrapText="1"/>
    </xf>
    <xf borderId="9" fillId="2" fontId="19" numFmtId="0" xfId="0" applyAlignment="1" applyBorder="1" applyFont="1">
      <alignment shrinkToFit="0" vertical="top" wrapText="1"/>
    </xf>
    <xf borderId="3" fillId="2" fontId="1" numFmtId="0" xfId="0" applyAlignment="1" applyBorder="1" applyFont="1">
      <alignment horizontal="left" vertical="center"/>
    </xf>
    <xf borderId="3" fillId="0" fontId="1" numFmtId="0" xfId="0" applyAlignment="1" applyBorder="1" applyFont="1">
      <alignment horizontal="left" vertical="center"/>
    </xf>
  </cellXfs>
  <cellStyles count="1">
    <cellStyle xfId="0" name="Normal" builtinId="0"/>
  </cellStyles>
  <dxfs count="2">
    <dxf>
      <font/>
      <fill>
        <patternFill patternType="solid">
          <fgColor rgb="FFFFFFFF"/>
          <bgColor rgb="FFFFFFFF"/>
        </patternFill>
      </fill>
      <border/>
    </dxf>
    <dxf>
      <font/>
      <fill>
        <patternFill patternType="solid">
          <fgColor rgb="FFD9EAD3"/>
          <bgColor rgb="FFD9EAD3"/>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design/xkw1FLdpu7HDIUeZ564WjN/CR17?node-id=2187-277&amp;t=3fG7PwD5UfnyzsWM-0" TargetMode="External"/><Relationship Id="rId2" Type="http://schemas.openxmlformats.org/officeDocument/2006/relationships/hyperlink" Target="https://www.figma.com/design/xkw1FLdpu7HDIUeZ564WjN/CR17?node-id=2180-2830&amp;t=3fG7PwD5UfnyzsWM-0" TargetMode="External"/><Relationship Id="rId3" Type="http://schemas.openxmlformats.org/officeDocument/2006/relationships/hyperlink" Target="https://www.figma.com/design/xkw1FLdpu7HDIUeZ564WjN/CR17?node-id=2180-2830&amp;t=3fG7PwD5UfnyzsWM-0" TargetMode="External"/><Relationship Id="rId4" Type="http://schemas.openxmlformats.org/officeDocument/2006/relationships/hyperlink" Target="https://docs.google.com/presentation/d/1XpWbu-bA2yL_-K629zZp4dKmsWBh1WD2/edit?slide=id.p22" TargetMode="External"/><Relationship Id="rId5" Type="http://schemas.openxmlformats.org/officeDocument/2006/relationships/hyperlink" Target="https://www.figma.com/design/xkw1FLdpu7HDIUeZ564WjN/CR17?node-id=2266-803&amp;t=kpio0B9nfd2LXfEt-0" TargetMode="External"/><Relationship Id="rId6" Type="http://schemas.openxmlformats.org/officeDocument/2006/relationships/hyperlink" Target="https://docs.google.com/presentation/d/1uIXz_fgthWJZ-wI9hncMjBFuUkY5cvgzLVYgvmFzVv4/edit?slide=id.g33b0341dd9c_0_132"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duamobileapp.slack.com/archives/C01SXMJD0GM/p1745207044206029?thread_ts=1745203041.627869&amp;cid=C01SXMJD0GM" TargetMode="External"/><Relationship Id="rId2" Type="http://schemas.openxmlformats.org/officeDocument/2006/relationships/hyperlink" Target="https://gyazo.com/1dd9ca0eaaafa161e00a3b942022ed53"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gyazo.com/d4481a49f030c9ccac05cf903e80944b" TargetMode="External"/><Relationship Id="rId2" Type="http://schemas.openxmlformats.org/officeDocument/2006/relationships/hyperlink" Target="https://gyazo.com/1dd9ca0eaaafa161e00a3b942022ed53"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5" width="12.63"/>
    <col customWidth="1" min="6" max="6" width="14.0"/>
  </cols>
  <sheetData>
    <row r="1" ht="15.75" customHeight="1">
      <c r="A1" s="1"/>
      <c r="B1" s="2"/>
      <c r="C1" s="2"/>
      <c r="D1" s="2"/>
      <c r="E1" s="2"/>
      <c r="F1" s="2"/>
      <c r="G1" s="2"/>
      <c r="H1" s="1"/>
      <c r="I1" s="1"/>
      <c r="J1" s="1"/>
      <c r="K1" s="1"/>
      <c r="L1" s="1"/>
      <c r="M1" s="1"/>
      <c r="N1" s="1"/>
      <c r="O1" s="1"/>
      <c r="P1" s="1"/>
      <c r="Q1" s="1"/>
      <c r="R1" s="1"/>
      <c r="S1" s="1"/>
      <c r="T1" s="1"/>
      <c r="U1" s="1"/>
      <c r="V1" s="1"/>
      <c r="W1" s="1"/>
      <c r="X1" s="1"/>
      <c r="Y1" s="1"/>
      <c r="Z1" s="1"/>
    </row>
    <row r="2" ht="15.75" customHeight="1">
      <c r="A2" s="3"/>
      <c r="B2" s="4" t="s">
        <v>0</v>
      </c>
      <c r="C2" s="5"/>
      <c r="D2" s="5"/>
      <c r="E2" s="5"/>
      <c r="F2" s="5"/>
      <c r="G2" s="6"/>
      <c r="H2" s="1"/>
      <c r="I2" s="1"/>
      <c r="J2" s="1"/>
      <c r="K2" s="1"/>
      <c r="L2" s="1"/>
      <c r="M2" s="1"/>
      <c r="N2" s="1"/>
      <c r="O2" s="1"/>
      <c r="P2" s="1"/>
      <c r="Q2" s="1"/>
      <c r="R2" s="1"/>
      <c r="S2" s="1"/>
      <c r="T2" s="1"/>
      <c r="U2" s="1"/>
      <c r="V2" s="1"/>
      <c r="W2" s="1"/>
      <c r="X2" s="1"/>
      <c r="Y2" s="1"/>
      <c r="Z2" s="1"/>
    </row>
    <row r="3" ht="15.75" customHeight="1">
      <c r="A3" s="1"/>
      <c r="B3" s="1"/>
      <c r="C3" s="1"/>
      <c r="D3" s="1"/>
      <c r="E3" s="1"/>
      <c r="F3" s="1"/>
      <c r="G3" s="1"/>
      <c r="H3" s="1"/>
      <c r="I3" s="1"/>
      <c r="J3" s="1"/>
      <c r="K3" s="1"/>
      <c r="L3" s="1"/>
      <c r="M3" s="1"/>
      <c r="N3" s="1"/>
      <c r="O3" s="1"/>
      <c r="P3" s="1"/>
      <c r="Q3" s="1"/>
      <c r="R3" s="1"/>
      <c r="S3" s="1"/>
      <c r="T3" s="1"/>
      <c r="U3" s="1"/>
      <c r="V3" s="1"/>
      <c r="W3" s="1"/>
      <c r="X3" s="1"/>
      <c r="Y3" s="1"/>
      <c r="Z3" s="1"/>
    </row>
    <row r="4" ht="15.75" customHeight="1">
      <c r="A4" s="1"/>
      <c r="B4" s="2"/>
      <c r="C4" s="2"/>
      <c r="D4" s="2"/>
      <c r="E4" s="2"/>
      <c r="F4" s="2"/>
      <c r="G4" s="2"/>
      <c r="H4" s="1"/>
      <c r="I4" s="1"/>
      <c r="J4" s="1"/>
      <c r="K4" s="1"/>
      <c r="L4" s="1"/>
      <c r="M4" s="1"/>
      <c r="N4" s="1"/>
      <c r="O4" s="1"/>
      <c r="P4" s="1"/>
      <c r="Q4" s="1"/>
      <c r="R4" s="1"/>
      <c r="S4" s="1"/>
      <c r="T4" s="1"/>
      <c r="U4" s="1"/>
      <c r="V4" s="1"/>
      <c r="W4" s="1"/>
      <c r="X4" s="1"/>
      <c r="Y4" s="1"/>
      <c r="Z4" s="1"/>
    </row>
    <row r="5" ht="15.75" customHeight="1">
      <c r="A5" s="3"/>
      <c r="B5" s="7" t="s">
        <v>1</v>
      </c>
      <c r="C5" s="8" t="s">
        <v>2</v>
      </c>
      <c r="D5" s="5"/>
      <c r="E5" s="6"/>
      <c r="F5" s="7" t="s">
        <v>3</v>
      </c>
      <c r="G5" s="9" t="s">
        <v>4</v>
      </c>
      <c r="H5" s="1"/>
      <c r="I5" s="1"/>
      <c r="J5" s="1"/>
      <c r="K5" s="1"/>
      <c r="L5" s="1"/>
      <c r="M5" s="1"/>
      <c r="N5" s="1"/>
      <c r="O5" s="1"/>
      <c r="P5" s="1"/>
      <c r="Q5" s="1"/>
      <c r="R5" s="1"/>
      <c r="S5" s="1"/>
      <c r="T5" s="1"/>
      <c r="U5" s="1"/>
      <c r="V5" s="1"/>
      <c r="W5" s="1"/>
      <c r="X5" s="1"/>
      <c r="Y5" s="1"/>
      <c r="Z5" s="1"/>
    </row>
    <row r="6" ht="15.75" customHeight="1">
      <c r="A6" s="3"/>
      <c r="B6" s="7" t="s">
        <v>5</v>
      </c>
      <c r="C6" s="8" t="s">
        <v>6</v>
      </c>
      <c r="D6" s="5"/>
      <c r="E6" s="6"/>
      <c r="F6" s="7" t="s">
        <v>7</v>
      </c>
      <c r="G6" s="10">
        <v>45692.0</v>
      </c>
      <c r="H6" s="1"/>
      <c r="I6" s="1"/>
      <c r="J6" s="1"/>
      <c r="K6" s="1"/>
      <c r="L6" s="1"/>
      <c r="M6" s="1"/>
      <c r="N6" s="1"/>
      <c r="O6" s="1"/>
      <c r="P6" s="1"/>
      <c r="Q6" s="1"/>
      <c r="R6" s="1"/>
      <c r="S6" s="1"/>
      <c r="T6" s="1"/>
      <c r="U6" s="1"/>
      <c r="V6" s="1"/>
      <c r="W6" s="1"/>
      <c r="X6" s="1"/>
      <c r="Y6" s="1"/>
      <c r="Z6" s="1"/>
    </row>
    <row r="7" ht="15.75" customHeight="1">
      <c r="A7" s="3"/>
      <c r="B7" s="7" t="s">
        <v>8</v>
      </c>
      <c r="C7" s="11"/>
      <c r="D7" s="5"/>
      <c r="E7" s="6"/>
      <c r="F7" s="12" t="s">
        <v>9</v>
      </c>
      <c r="G7" s="13"/>
      <c r="H7" s="1"/>
      <c r="I7" s="1"/>
      <c r="J7" s="1"/>
      <c r="K7" s="1"/>
      <c r="L7" s="1"/>
      <c r="M7" s="1"/>
      <c r="N7" s="1"/>
      <c r="O7" s="1"/>
      <c r="P7" s="1"/>
      <c r="Q7" s="1"/>
      <c r="R7" s="1"/>
      <c r="S7" s="1"/>
      <c r="T7" s="1"/>
      <c r="U7" s="1"/>
      <c r="V7" s="1"/>
      <c r="W7" s="1"/>
      <c r="X7" s="1"/>
      <c r="Y7" s="1"/>
      <c r="Z7" s="1"/>
    </row>
    <row r="8" ht="15.75" customHeight="1">
      <c r="A8" s="3"/>
      <c r="B8" s="7" t="s">
        <v>10</v>
      </c>
      <c r="C8" s="8" t="s">
        <v>11</v>
      </c>
      <c r="D8" s="5"/>
      <c r="E8" s="6"/>
      <c r="F8" s="7" t="s">
        <v>12</v>
      </c>
      <c r="G8" s="14"/>
      <c r="H8" s="1"/>
      <c r="I8" s="1"/>
      <c r="J8" s="1"/>
      <c r="K8" s="1"/>
      <c r="L8" s="1"/>
      <c r="M8" s="1"/>
      <c r="N8" s="1"/>
      <c r="O8" s="1"/>
      <c r="P8" s="1"/>
      <c r="Q8" s="1"/>
      <c r="R8" s="1"/>
      <c r="S8" s="1"/>
      <c r="T8" s="1"/>
      <c r="U8" s="1"/>
      <c r="V8" s="1"/>
      <c r="W8" s="1"/>
      <c r="X8" s="1"/>
      <c r="Y8" s="1"/>
      <c r="Z8" s="1"/>
    </row>
    <row r="9" ht="15.75" customHeight="1">
      <c r="A9" s="1"/>
      <c r="B9" s="2"/>
      <c r="C9" s="1"/>
      <c r="D9" s="1"/>
      <c r="E9" s="1"/>
      <c r="F9" s="1"/>
      <c r="G9" s="2"/>
      <c r="H9" s="2"/>
      <c r="I9" s="1"/>
      <c r="J9" s="1"/>
      <c r="K9" s="1"/>
      <c r="L9" s="1"/>
      <c r="M9" s="1"/>
      <c r="N9" s="1"/>
      <c r="O9" s="1"/>
      <c r="P9" s="1"/>
      <c r="Q9" s="1"/>
      <c r="R9" s="1"/>
      <c r="S9" s="1"/>
      <c r="T9" s="1"/>
      <c r="U9" s="1"/>
      <c r="V9" s="1"/>
      <c r="W9" s="1"/>
      <c r="X9" s="1"/>
      <c r="Y9" s="1"/>
      <c r="Z9" s="1"/>
    </row>
    <row r="10" ht="15.75" customHeight="1">
      <c r="A10" s="3"/>
      <c r="B10" s="15" t="s">
        <v>13</v>
      </c>
      <c r="C10" s="16"/>
      <c r="D10" s="16"/>
      <c r="E10" s="16"/>
      <c r="F10" s="17"/>
      <c r="G10" s="18" t="s">
        <v>14</v>
      </c>
      <c r="H10" s="6"/>
      <c r="I10" s="1"/>
      <c r="J10" s="1"/>
      <c r="K10" s="1"/>
      <c r="L10" s="1"/>
      <c r="M10" s="1"/>
      <c r="N10" s="1"/>
      <c r="O10" s="1"/>
      <c r="P10" s="1"/>
      <c r="Q10" s="1"/>
      <c r="R10" s="1"/>
      <c r="S10" s="1"/>
      <c r="T10" s="1"/>
      <c r="U10" s="1"/>
      <c r="V10" s="1"/>
      <c r="W10" s="1"/>
      <c r="X10" s="1"/>
      <c r="Y10" s="1"/>
      <c r="Z10" s="1"/>
    </row>
    <row r="11" ht="15.75" customHeight="1">
      <c r="A11" s="3"/>
      <c r="B11" s="19" t="s">
        <v>15</v>
      </c>
      <c r="C11" s="19" t="s">
        <v>16</v>
      </c>
      <c r="D11" s="19" t="s">
        <v>17</v>
      </c>
      <c r="E11" s="19" t="s">
        <v>18</v>
      </c>
      <c r="F11" s="19" t="s">
        <v>19</v>
      </c>
      <c r="G11" s="19" t="s">
        <v>20</v>
      </c>
      <c r="H11" s="20" t="s">
        <v>21</v>
      </c>
      <c r="I11" s="1"/>
      <c r="J11" s="1"/>
      <c r="K11" s="1"/>
      <c r="L11" s="1"/>
      <c r="M11" s="1"/>
      <c r="N11" s="1"/>
      <c r="O11" s="1"/>
      <c r="P11" s="1"/>
      <c r="Q11" s="1"/>
      <c r="R11" s="1"/>
      <c r="S11" s="1"/>
      <c r="T11" s="1"/>
      <c r="U11" s="1"/>
      <c r="V11" s="1"/>
      <c r="W11" s="1"/>
      <c r="X11" s="1"/>
      <c r="Y11" s="1"/>
      <c r="Z11" s="1"/>
    </row>
    <row r="12" ht="15.75" customHeight="1">
      <c r="A12" s="3"/>
      <c r="B12" s="14"/>
      <c r="C12" s="13"/>
      <c r="D12" s="21"/>
      <c r="E12" s="22"/>
      <c r="F12" s="21"/>
      <c r="G12" s="21"/>
      <c r="H12" s="21"/>
      <c r="I12" s="1"/>
      <c r="J12" s="1"/>
      <c r="K12" s="1"/>
      <c r="L12" s="1"/>
      <c r="M12" s="1"/>
      <c r="N12" s="1"/>
      <c r="O12" s="1"/>
      <c r="P12" s="1"/>
      <c r="Q12" s="1"/>
      <c r="R12" s="1"/>
      <c r="S12" s="1"/>
      <c r="T12" s="1"/>
      <c r="U12" s="1"/>
      <c r="V12" s="1"/>
      <c r="W12" s="1"/>
      <c r="X12" s="1"/>
      <c r="Y12" s="1"/>
      <c r="Z12" s="1"/>
    </row>
    <row r="13" ht="15.75" customHeight="1">
      <c r="A13" s="3"/>
      <c r="B13" s="21"/>
      <c r="C13" s="13"/>
      <c r="D13" s="21"/>
      <c r="E13" s="22"/>
      <c r="F13" s="22"/>
      <c r="G13" s="21"/>
      <c r="H13" s="21"/>
      <c r="I13" s="1"/>
      <c r="J13" s="1"/>
      <c r="K13" s="1"/>
      <c r="L13" s="1"/>
      <c r="M13" s="1"/>
      <c r="N13" s="1"/>
      <c r="O13" s="1"/>
      <c r="P13" s="1"/>
      <c r="Q13" s="1"/>
      <c r="R13" s="1"/>
      <c r="S13" s="1"/>
      <c r="T13" s="1"/>
      <c r="U13" s="1"/>
      <c r="V13" s="1"/>
      <c r="W13" s="1"/>
      <c r="X13" s="1"/>
      <c r="Y13" s="1"/>
      <c r="Z13" s="1"/>
    </row>
    <row r="14" ht="15.75" customHeight="1">
      <c r="A14" s="3"/>
      <c r="B14" s="21"/>
      <c r="C14" s="13"/>
      <c r="D14" s="21"/>
      <c r="E14" s="22"/>
      <c r="F14" s="22"/>
      <c r="G14" s="21"/>
      <c r="H14" s="21"/>
      <c r="I14" s="1"/>
      <c r="J14" s="1"/>
      <c r="K14" s="1"/>
      <c r="L14" s="1"/>
      <c r="M14" s="1"/>
      <c r="N14" s="1"/>
      <c r="O14" s="1"/>
      <c r="P14" s="1"/>
      <c r="Q14" s="1"/>
      <c r="R14" s="1"/>
      <c r="S14" s="1"/>
      <c r="T14" s="1"/>
      <c r="U14" s="1"/>
      <c r="V14" s="1"/>
      <c r="W14" s="1"/>
      <c r="X14" s="1"/>
      <c r="Y14" s="1"/>
      <c r="Z14" s="1"/>
    </row>
    <row r="15" ht="15.75" customHeight="1">
      <c r="A15" s="3"/>
      <c r="B15" s="21"/>
      <c r="C15" s="13"/>
      <c r="D15" s="21"/>
      <c r="E15" s="22"/>
      <c r="F15" s="22"/>
      <c r="G15" s="21"/>
      <c r="H15" s="21"/>
      <c r="I15" s="1"/>
      <c r="J15" s="1"/>
      <c r="K15" s="1"/>
      <c r="L15" s="1"/>
      <c r="M15" s="1"/>
      <c r="N15" s="1"/>
      <c r="O15" s="1"/>
      <c r="P15" s="1"/>
      <c r="Q15" s="1"/>
      <c r="R15" s="1"/>
      <c r="S15" s="1"/>
      <c r="T15" s="1"/>
      <c r="U15" s="1"/>
      <c r="V15" s="1"/>
      <c r="W15" s="1"/>
      <c r="X15" s="1"/>
      <c r="Y15" s="1"/>
      <c r="Z15" s="1"/>
    </row>
    <row r="16" ht="15.75" customHeight="1">
      <c r="A16" s="3"/>
      <c r="B16" s="21"/>
      <c r="C16" s="13"/>
      <c r="D16" s="21"/>
      <c r="E16" s="22"/>
      <c r="F16" s="22"/>
      <c r="G16" s="21"/>
      <c r="H16" s="21"/>
      <c r="I16" s="1"/>
      <c r="J16" s="1"/>
      <c r="K16" s="1"/>
      <c r="L16" s="1"/>
      <c r="M16" s="1"/>
      <c r="N16" s="1"/>
      <c r="O16" s="1"/>
      <c r="P16" s="1"/>
      <c r="Q16" s="1"/>
      <c r="R16" s="1"/>
      <c r="S16" s="1"/>
      <c r="T16" s="1"/>
      <c r="U16" s="1"/>
      <c r="V16" s="1"/>
      <c r="W16" s="1"/>
      <c r="X16" s="1"/>
      <c r="Y16" s="1"/>
      <c r="Z16" s="1"/>
    </row>
    <row r="17" ht="15.75" customHeight="1">
      <c r="A17" s="3"/>
      <c r="B17" s="21"/>
      <c r="C17" s="13"/>
      <c r="D17" s="21"/>
      <c r="E17" s="22"/>
      <c r="F17" s="22"/>
      <c r="G17" s="21"/>
      <c r="H17" s="21"/>
      <c r="I17" s="1"/>
      <c r="J17" s="1"/>
      <c r="K17" s="1"/>
      <c r="L17" s="1"/>
      <c r="M17" s="1"/>
      <c r="N17" s="1"/>
      <c r="O17" s="1"/>
      <c r="P17" s="1"/>
      <c r="Q17" s="1"/>
      <c r="R17" s="1"/>
      <c r="S17" s="1"/>
      <c r="T17" s="1"/>
      <c r="U17" s="1"/>
      <c r="V17" s="1"/>
      <c r="W17" s="1"/>
      <c r="X17" s="1"/>
      <c r="Y17" s="1"/>
      <c r="Z17" s="1"/>
    </row>
    <row r="18" ht="15.75" customHeight="1">
      <c r="A18" s="3"/>
      <c r="B18" s="21"/>
      <c r="C18" s="13"/>
      <c r="D18" s="21"/>
      <c r="E18" s="22"/>
      <c r="F18" s="22"/>
      <c r="G18" s="21"/>
      <c r="H18" s="21"/>
      <c r="I18" s="1"/>
      <c r="J18" s="1"/>
      <c r="K18" s="1"/>
      <c r="L18" s="1"/>
      <c r="M18" s="1"/>
      <c r="N18" s="1"/>
      <c r="O18" s="1"/>
      <c r="P18" s="1"/>
      <c r="Q18" s="1"/>
      <c r="R18" s="1"/>
      <c r="S18" s="1"/>
      <c r="T18" s="1"/>
      <c r="U18" s="1"/>
      <c r="V18" s="1"/>
      <c r="W18" s="1"/>
      <c r="X18" s="1"/>
      <c r="Y18" s="1"/>
      <c r="Z18" s="1"/>
    </row>
    <row r="19" ht="15.75" customHeight="1">
      <c r="A19" s="3"/>
      <c r="B19" s="21"/>
      <c r="C19" s="13"/>
      <c r="D19" s="21"/>
      <c r="E19" s="22"/>
      <c r="F19" s="22"/>
      <c r="G19" s="21"/>
      <c r="H19" s="21"/>
      <c r="I19" s="1"/>
      <c r="J19" s="1"/>
      <c r="K19" s="1"/>
      <c r="L19" s="1"/>
      <c r="M19" s="1"/>
      <c r="N19" s="1"/>
      <c r="O19" s="1"/>
      <c r="P19" s="1"/>
      <c r="Q19" s="1"/>
      <c r="R19" s="1"/>
      <c r="S19" s="1"/>
      <c r="T19" s="1"/>
      <c r="U19" s="1"/>
      <c r="V19" s="1"/>
      <c r="W19" s="1"/>
      <c r="X19" s="1"/>
      <c r="Y19" s="1"/>
      <c r="Z19" s="1"/>
    </row>
    <row r="20" ht="15.75" customHeight="1">
      <c r="A20" s="3"/>
      <c r="B20" s="21"/>
      <c r="C20" s="13"/>
      <c r="D20" s="21"/>
      <c r="E20" s="22"/>
      <c r="F20" s="22"/>
      <c r="G20" s="21"/>
      <c r="H20" s="21"/>
      <c r="I20" s="1"/>
      <c r="J20" s="1"/>
      <c r="K20" s="1"/>
      <c r="L20" s="1"/>
      <c r="M20" s="1"/>
      <c r="N20" s="1"/>
      <c r="O20" s="1"/>
      <c r="P20" s="1"/>
      <c r="Q20" s="1"/>
      <c r="R20" s="1"/>
      <c r="S20" s="1"/>
      <c r="T20" s="1"/>
      <c r="U20" s="1"/>
      <c r="V20" s="1"/>
      <c r="W20" s="1"/>
      <c r="X20" s="1"/>
      <c r="Y20" s="1"/>
      <c r="Z20" s="1"/>
    </row>
    <row r="21" ht="15.75" customHeight="1">
      <c r="A21" s="3"/>
      <c r="B21" s="21"/>
      <c r="C21" s="13"/>
      <c r="D21" s="21"/>
      <c r="E21" s="22"/>
      <c r="F21" s="22"/>
      <c r="G21" s="21"/>
      <c r="H21" s="21"/>
      <c r="I21" s="1"/>
      <c r="J21" s="1"/>
      <c r="K21" s="1"/>
      <c r="L21" s="1"/>
      <c r="M21" s="1"/>
      <c r="N21" s="1"/>
      <c r="O21" s="1"/>
      <c r="P21" s="1"/>
      <c r="Q21" s="1"/>
      <c r="R21" s="1"/>
      <c r="S21" s="1"/>
      <c r="T21" s="1"/>
      <c r="U21" s="1"/>
      <c r="V21" s="1"/>
      <c r="W21" s="1"/>
      <c r="X21" s="1"/>
      <c r="Y21" s="1"/>
      <c r="Z21" s="1"/>
    </row>
    <row r="22" ht="15.75" customHeight="1">
      <c r="A22" s="3"/>
      <c r="B22" s="21"/>
      <c r="C22" s="13"/>
      <c r="D22" s="21"/>
      <c r="E22" s="22"/>
      <c r="F22" s="22"/>
      <c r="G22" s="21"/>
      <c r="H22" s="21"/>
      <c r="I22" s="1"/>
      <c r="J22" s="1"/>
      <c r="K22" s="1"/>
      <c r="L22" s="1"/>
      <c r="M22" s="1"/>
      <c r="N22" s="1"/>
      <c r="O22" s="1"/>
      <c r="P22" s="1"/>
      <c r="Q22" s="1"/>
      <c r="R22" s="1"/>
      <c r="S22" s="1"/>
      <c r="T22" s="1"/>
      <c r="U22" s="1"/>
      <c r="V22" s="1"/>
      <c r="W22" s="1"/>
      <c r="X22" s="1"/>
      <c r="Y22" s="1"/>
      <c r="Z22" s="1"/>
    </row>
    <row r="23" ht="15.75" customHeight="1">
      <c r="A23" s="3"/>
      <c r="B23" s="21"/>
      <c r="C23" s="21"/>
      <c r="D23" s="21"/>
      <c r="E23" s="21"/>
      <c r="F23" s="21"/>
      <c r="G23" s="21"/>
      <c r="H23" s="21"/>
      <c r="I23" s="1"/>
      <c r="J23" s="1"/>
      <c r="K23" s="1"/>
      <c r="L23" s="1"/>
      <c r="M23" s="1"/>
      <c r="N23" s="1"/>
      <c r="O23" s="1"/>
      <c r="P23" s="1"/>
      <c r="Q23" s="1"/>
      <c r="R23" s="1"/>
      <c r="S23" s="1"/>
      <c r="T23" s="1"/>
      <c r="U23" s="1"/>
      <c r="V23" s="1"/>
      <c r="W23" s="1"/>
      <c r="X23" s="1"/>
      <c r="Y23" s="1"/>
      <c r="Z23" s="1"/>
    </row>
    <row r="24" ht="15.75" customHeight="1">
      <c r="A24" s="3"/>
      <c r="B24" s="21"/>
      <c r="C24" s="21"/>
      <c r="D24" s="21"/>
      <c r="E24" s="21"/>
      <c r="F24" s="21"/>
      <c r="G24" s="21"/>
      <c r="H24" s="21"/>
      <c r="I24" s="1"/>
      <c r="J24" s="1"/>
      <c r="K24" s="1"/>
      <c r="L24" s="1"/>
      <c r="M24" s="1"/>
      <c r="N24" s="1"/>
      <c r="O24" s="1"/>
      <c r="P24" s="1"/>
      <c r="Q24" s="1"/>
      <c r="R24" s="1"/>
      <c r="S24" s="1"/>
      <c r="T24" s="1"/>
      <c r="U24" s="1"/>
      <c r="V24" s="1"/>
      <c r="W24" s="1"/>
      <c r="X24" s="1"/>
      <c r="Y24" s="1"/>
      <c r="Z24" s="1"/>
    </row>
    <row r="25" ht="15.75" customHeight="1">
      <c r="A25" s="3"/>
      <c r="B25" s="21"/>
      <c r="C25" s="21"/>
      <c r="D25" s="21"/>
      <c r="E25" s="21"/>
      <c r="F25" s="21"/>
      <c r="G25" s="21"/>
      <c r="H25" s="21"/>
      <c r="I25" s="1"/>
      <c r="J25" s="1"/>
      <c r="K25" s="1"/>
      <c r="L25" s="1"/>
      <c r="M25" s="1"/>
      <c r="N25" s="1"/>
      <c r="O25" s="1"/>
      <c r="P25" s="1"/>
      <c r="Q25" s="1"/>
      <c r="R25" s="1"/>
      <c r="S25" s="1"/>
      <c r="T25" s="1"/>
      <c r="U25" s="1"/>
      <c r="V25" s="1"/>
      <c r="W25" s="1"/>
      <c r="X25" s="1"/>
      <c r="Y25" s="1"/>
      <c r="Z25" s="1"/>
    </row>
    <row r="26" ht="15.75" customHeight="1">
      <c r="A26" s="3"/>
      <c r="B26" s="21"/>
      <c r="C26" s="21"/>
      <c r="D26" s="21"/>
      <c r="E26" s="21"/>
      <c r="F26" s="21"/>
      <c r="G26" s="21"/>
      <c r="H26" s="21"/>
      <c r="I26" s="1"/>
      <c r="J26" s="1"/>
      <c r="K26" s="1"/>
      <c r="L26" s="1"/>
      <c r="M26" s="1"/>
      <c r="N26" s="1"/>
      <c r="O26" s="1"/>
      <c r="P26" s="1"/>
      <c r="Q26" s="1"/>
      <c r="R26" s="1"/>
      <c r="S26" s="1"/>
      <c r="T26" s="1"/>
      <c r="U26" s="1"/>
      <c r="V26" s="1"/>
      <c r="W26" s="1"/>
      <c r="X26" s="1"/>
      <c r="Y26" s="1"/>
      <c r="Z26" s="1"/>
    </row>
    <row r="27" ht="15.75" customHeight="1">
      <c r="A27" s="3"/>
      <c r="B27" s="21"/>
      <c r="C27" s="21"/>
      <c r="D27" s="21"/>
      <c r="E27" s="21"/>
      <c r="F27" s="21"/>
      <c r="G27" s="21"/>
      <c r="H27" s="21"/>
      <c r="I27" s="1"/>
      <c r="J27" s="1"/>
      <c r="K27" s="1"/>
      <c r="L27" s="1"/>
      <c r="M27" s="1"/>
      <c r="N27" s="1"/>
      <c r="O27" s="1"/>
      <c r="P27" s="1"/>
      <c r="Q27" s="1"/>
      <c r="R27" s="1"/>
      <c r="S27" s="1"/>
      <c r="T27" s="1"/>
      <c r="U27" s="1"/>
      <c r="V27" s="1"/>
      <c r="W27" s="1"/>
      <c r="X27" s="1"/>
      <c r="Y27" s="1"/>
      <c r="Z27" s="1"/>
    </row>
    <row r="28" ht="15.75" customHeight="1">
      <c r="A28" s="3"/>
      <c r="B28" s="21"/>
      <c r="C28" s="21"/>
      <c r="D28" s="21"/>
      <c r="E28" s="21"/>
      <c r="F28" s="21"/>
      <c r="G28" s="21"/>
      <c r="H28" s="2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G2"/>
    <mergeCell ref="C5:E5"/>
    <mergeCell ref="C6:E6"/>
    <mergeCell ref="C7:E7"/>
    <mergeCell ref="C8:E8"/>
    <mergeCell ref="B10:F10"/>
    <mergeCell ref="G10:H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3.5"/>
    <col customWidth="1" min="2" max="4" width="33.13"/>
    <col customWidth="1" min="5" max="5" width="40.88"/>
    <col customWidth="1" min="6" max="6" width="38.75"/>
    <col customWidth="1" min="12" max="14" width="14.5"/>
  </cols>
  <sheetData>
    <row r="1" ht="15.75" customHeight="1">
      <c r="A1" s="23" t="s">
        <v>22</v>
      </c>
      <c r="B1" s="24" t="s">
        <v>23</v>
      </c>
      <c r="C1" s="16"/>
      <c r="D1" s="16"/>
      <c r="E1" s="16"/>
      <c r="F1" s="16"/>
      <c r="G1" s="16"/>
      <c r="H1" s="16"/>
      <c r="I1" s="16"/>
      <c r="J1" s="16"/>
      <c r="K1" s="16"/>
      <c r="L1" s="16"/>
      <c r="M1" s="16"/>
      <c r="N1" s="16"/>
      <c r="O1" s="17"/>
    </row>
    <row r="2" ht="15.75" customHeight="1">
      <c r="A2" s="25" t="s">
        <v>24</v>
      </c>
      <c r="B2" s="26" t="s">
        <v>25</v>
      </c>
      <c r="C2" s="26" t="s">
        <v>26</v>
      </c>
      <c r="D2" s="26" t="s">
        <v>27</v>
      </c>
      <c r="E2" s="26" t="s">
        <v>28</v>
      </c>
      <c r="F2" s="26" t="s">
        <v>29</v>
      </c>
      <c r="G2" s="27" t="s">
        <v>30</v>
      </c>
      <c r="H2" s="28" t="s">
        <v>31</v>
      </c>
      <c r="I2" s="5"/>
      <c r="J2" s="5"/>
      <c r="K2" s="6"/>
      <c r="L2" s="29" t="s">
        <v>32</v>
      </c>
      <c r="N2" s="30"/>
      <c r="O2" s="31" t="s">
        <v>33</v>
      </c>
    </row>
    <row r="3" ht="15.75" customHeight="1">
      <c r="A3" s="32"/>
      <c r="B3" s="30"/>
      <c r="C3" s="30"/>
      <c r="D3" s="30"/>
      <c r="E3" s="30"/>
      <c r="F3" s="30"/>
      <c r="G3" s="30"/>
      <c r="H3" s="28" t="s">
        <v>34</v>
      </c>
      <c r="I3" s="5"/>
      <c r="J3" s="33" t="s">
        <v>35</v>
      </c>
      <c r="K3" s="17"/>
      <c r="L3" s="5"/>
      <c r="M3" s="5"/>
      <c r="N3" s="6"/>
      <c r="O3" s="30"/>
    </row>
    <row r="4" ht="15.75" customHeight="1">
      <c r="A4" s="34"/>
      <c r="B4" s="6"/>
      <c r="C4" s="6"/>
      <c r="D4" s="6"/>
      <c r="E4" s="6"/>
      <c r="F4" s="6"/>
      <c r="G4" s="6"/>
      <c r="H4" s="35" t="s">
        <v>36</v>
      </c>
      <c r="I4" s="35" t="s">
        <v>37</v>
      </c>
      <c r="J4" s="35" t="s">
        <v>36</v>
      </c>
      <c r="K4" s="35" t="s">
        <v>37</v>
      </c>
      <c r="L4" s="36" t="s">
        <v>38</v>
      </c>
      <c r="M4" s="37" t="s">
        <v>39</v>
      </c>
      <c r="N4" s="37" t="s">
        <v>40</v>
      </c>
      <c r="O4" s="6"/>
    </row>
    <row r="5" ht="15.75" customHeight="1">
      <c r="A5" s="38" t="str">
        <f t="shared" ref="A5:A12" si="1">IF(F5&lt;&gt;"",""&amp;TEXT($B$1,"##")&amp;"_"&amp;(ROW()-4)-COUNTBLANK(F5:F$6),"")</f>
        <v>Smoke test_1</v>
      </c>
      <c r="B5" s="39" t="s">
        <v>41</v>
      </c>
      <c r="C5" s="39" t="s">
        <v>42</v>
      </c>
      <c r="D5" s="39"/>
      <c r="E5" s="39" t="s">
        <v>43</v>
      </c>
      <c r="F5" s="39" t="s">
        <v>44</v>
      </c>
      <c r="G5" s="40" t="s">
        <v>45</v>
      </c>
      <c r="H5" s="41" t="s">
        <v>46</v>
      </c>
      <c r="I5" s="42"/>
      <c r="J5" s="41" t="s">
        <v>46</v>
      </c>
      <c r="K5" s="42"/>
      <c r="L5" s="42"/>
      <c r="M5" s="42"/>
      <c r="N5" s="42"/>
      <c r="O5" s="43"/>
    </row>
    <row r="6" ht="15.75" customHeight="1">
      <c r="A6" s="38" t="str">
        <f t="shared" si="1"/>
        <v>Smoke test_2</v>
      </c>
      <c r="B6" s="39" t="s">
        <v>47</v>
      </c>
      <c r="C6" s="39" t="s">
        <v>48</v>
      </c>
      <c r="D6" s="39"/>
      <c r="E6" s="39" t="s">
        <v>49</v>
      </c>
      <c r="F6" s="39" t="s">
        <v>44</v>
      </c>
      <c r="G6" s="40" t="s">
        <v>45</v>
      </c>
      <c r="H6" s="41" t="s">
        <v>46</v>
      </c>
      <c r="I6" s="42"/>
      <c r="J6" s="41" t="s">
        <v>46</v>
      </c>
      <c r="K6" s="42"/>
      <c r="L6" s="42"/>
      <c r="M6" s="42"/>
      <c r="N6" s="42"/>
      <c r="O6" s="43"/>
    </row>
    <row r="7" ht="15.75" customHeight="1">
      <c r="A7" s="38" t="str">
        <f t="shared" si="1"/>
        <v>Smoke test_3</v>
      </c>
      <c r="B7" s="39" t="s">
        <v>50</v>
      </c>
      <c r="C7" s="39" t="s">
        <v>51</v>
      </c>
      <c r="D7" s="39"/>
      <c r="E7" s="39" t="s">
        <v>52</v>
      </c>
      <c r="F7" s="39" t="s">
        <v>53</v>
      </c>
      <c r="G7" s="40" t="s">
        <v>45</v>
      </c>
      <c r="H7" s="41" t="s">
        <v>46</v>
      </c>
      <c r="I7" s="42"/>
      <c r="J7" s="41" t="s">
        <v>46</v>
      </c>
      <c r="K7" s="42"/>
      <c r="L7" s="42"/>
      <c r="M7" s="42"/>
      <c r="N7" s="42"/>
      <c r="O7" s="43"/>
    </row>
    <row r="8" ht="15.75" customHeight="1">
      <c r="A8" s="38" t="str">
        <f t="shared" si="1"/>
        <v>Smoke test_4</v>
      </c>
      <c r="B8" s="39" t="s">
        <v>54</v>
      </c>
      <c r="C8" s="39" t="s">
        <v>55</v>
      </c>
      <c r="D8" s="39"/>
      <c r="E8" s="39" t="s">
        <v>56</v>
      </c>
      <c r="F8" s="39" t="s">
        <v>57</v>
      </c>
      <c r="G8" s="40" t="s">
        <v>45</v>
      </c>
      <c r="H8" s="41" t="s">
        <v>46</v>
      </c>
      <c r="I8" s="42"/>
      <c r="J8" s="41" t="s">
        <v>46</v>
      </c>
      <c r="K8" s="42"/>
      <c r="L8" s="42"/>
      <c r="M8" s="42"/>
      <c r="N8" s="42"/>
      <c r="O8" s="43"/>
    </row>
    <row r="9" ht="15.75" customHeight="1">
      <c r="A9" s="38" t="str">
        <f t="shared" si="1"/>
        <v>Smoke test_5</v>
      </c>
      <c r="B9" s="39" t="s">
        <v>58</v>
      </c>
      <c r="C9" s="39" t="s">
        <v>59</v>
      </c>
      <c r="D9" s="39" t="s">
        <v>60</v>
      </c>
      <c r="E9" s="39" t="s">
        <v>61</v>
      </c>
      <c r="F9" s="39" t="s">
        <v>62</v>
      </c>
      <c r="G9" s="40" t="s">
        <v>45</v>
      </c>
      <c r="H9" s="41" t="s">
        <v>46</v>
      </c>
      <c r="I9" s="42"/>
      <c r="J9" s="41" t="s">
        <v>46</v>
      </c>
      <c r="K9" s="42"/>
      <c r="L9" s="42"/>
      <c r="M9" s="42"/>
      <c r="N9" s="42"/>
      <c r="O9" s="43"/>
    </row>
    <row r="10" ht="15.75" customHeight="1">
      <c r="A10" s="38" t="str">
        <f t="shared" si="1"/>
        <v>Smoke test_6</v>
      </c>
      <c r="B10" s="39" t="s">
        <v>63</v>
      </c>
      <c r="C10" s="39" t="s">
        <v>64</v>
      </c>
      <c r="D10" s="39"/>
      <c r="E10" s="39" t="s">
        <v>65</v>
      </c>
      <c r="F10" s="39" t="s">
        <v>66</v>
      </c>
      <c r="G10" s="40" t="s">
        <v>45</v>
      </c>
      <c r="H10" s="41" t="s">
        <v>46</v>
      </c>
      <c r="I10" s="42"/>
      <c r="J10" s="41" t="s">
        <v>46</v>
      </c>
      <c r="K10" s="42"/>
      <c r="L10" s="42"/>
      <c r="M10" s="42"/>
      <c r="N10" s="42"/>
      <c r="O10" s="43"/>
    </row>
    <row r="11" ht="15.75" customHeight="1">
      <c r="A11" s="38" t="str">
        <f t="shared" si="1"/>
        <v>Smoke test_7</v>
      </c>
      <c r="B11" s="39" t="s">
        <v>67</v>
      </c>
      <c r="C11" s="39" t="s">
        <v>68</v>
      </c>
      <c r="D11" s="39"/>
      <c r="E11" s="39" t="s">
        <v>69</v>
      </c>
      <c r="F11" s="39" t="s">
        <v>70</v>
      </c>
      <c r="G11" s="40" t="s">
        <v>45</v>
      </c>
      <c r="H11" s="41" t="s">
        <v>46</v>
      </c>
      <c r="I11" s="42"/>
      <c r="J11" s="41" t="s">
        <v>46</v>
      </c>
      <c r="K11" s="42"/>
      <c r="L11" s="42"/>
      <c r="M11" s="42"/>
      <c r="N11" s="42"/>
      <c r="O11" s="43"/>
    </row>
    <row r="12" ht="15.75" customHeight="1">
      <c r="A12" s="38" t="str">
        <f t="shared" si="1"/>
        <v>Smoke test_8</v>
      </c>
      <c r="B12" s="39" t="s">
        <v>71</v>
      </c>
      <c r="C12" s="39" t="s">
        <v>72</v>
      </c>
      <c r="D12" s="39"/>
      <c r="E12" s="44" t="s">
        <v>73</v>
      </c>
      <c r="F12" s="39" t="s">
        <v>74</v>
      </c>
      <c r="G12" s="40" t="s">
        <v>45</v>
      </c>
      <c r="H12" s="41" t="s">
        <v>46</v>
      </c>
      <c r="I12" s="42"/>
      <c r="J12" s="41" t="s">
        <v>46</v>
      </c>
      <c r="K12" s="42"/>
      <c r="L12" s="42"/>
      <c r="M12" s="42"/>
      <c r="N12" s="42"/>
      <c r="O12" s="43"/>
    </row>
    <row r="13" ht="15.75" customHeight="1">
      <c r="E13" s="45"/>
      <c r="G13" s="46"/>
      <c r="H13" s="46"/>
      <c r="I13" s="46"/>
      <c r="J13" s="46"/>
      <c r="K13" s="46"/>
      <c r="L13" s="46"/>
      <c r="M13" s="46"/>
      <c r="N13" s="46"/>
      <c r="O13" s="46"/>
    </row>
    <row r="14" ht="15.75" customHeight="1">
      <c r="E14" s="45"/>
      <c r="G14" s="46"/>
      <c r="H14" s="46"/>
      <c r="I14" s="46"/>
      <c r="J14" s="46"/>
      <c r="K14" s="46"/>
      <c r="L14" s="46"/>
      <c r="M14" s="46"/>
      <c r="N14" s="46"/>
      <c r="O14" s="46"/>
    </row>
    <row r="15" ht="15.75" customHeight="1">
      <c r="E15" s="45"/>
      <c r="G15" s="46"/>
      <c r="H15" s="46"/>
      <c r="I15" s="46"/>
      <c r="J15" s="46"/>
      <c r="K15" s="46"/>
      <c r="L15" s="46"/>
      <c r="M15" s="46"/>
      <c r="N15" s="46"/>
      <c r="O15" s="46"/>
    </row>
    <row r="16" ht="15.75" customHeight="1">
      <c r="E16" s="45"/>
      <c r="G16" s="46"/>
      <c r="H16" s="46"/>
      <c r="I16" s="46"/>
      <c r="J16" s="46"/>
      <c r="K16" s="46"/>
      <c r="L16" s="46"/>
      <c r="M16" s="46"/>
      <c r="N16" s="46"/>
      <c r="O16" s="46"/>
    </row>
    <row r="17" ht="15.75" customHeight="1">
      <c r="E17" s="45"/>
      <c r="G17" s="46"/>
      <c r="H17" s="46"/>
      <c r="I17" s="46"/>
      <c r="J17" s="46"/>
      <c r="K17" s="46"/>
      <c r="L17" s="46"/>
      <c r="M17" s="46"/>
      <c r="N17" s="46"/>
      <c r="O17" s="46"/>
    </row>
    <row r="18" ht="15.75" customHeight="1">
      <c r="E18" s="45"/>
      <c r="G18" s="46"/>
      <c r="H18" s="46"/>
      <c r="I18" s="46"/>
      <c r="J18" s="46"/>
      <c r="K18" s="46"/>
      <c r="L18" s="46"/>
      <c r="M18" s="46"/>
      <c r="N18" s="46"/>
      <c r="O18" s="46"/>
    </row>
    <row r="19" ht="15.75" customHeight="1">
      <c r="E19" s="45"/>
      <c r="G19" s="46"/>
      <c r="H19" s="46"/>
      <c r="I19" s="46"/>
      <c r="J19" s="46"/>
      <c r="K19" s="46"/>
      <c r="L19" s="46"/>
      <c r="M19" s="46"/>
      <c r="N19" s="46"/>
      <c r="O19" s="46"/>
    </row>
    <row r="20" ht="15.75" customHeight="1">
      <c r="E20" s="45"/>
      <c r="G20" s="46"/>
      <c r="H20" s="46"/>
      <c r="I20" s="46"/>
      <c r="J20" s="46"/>
      <c r="K20" s="46"/>
      <c r="L20" s="46"/>
      <c r="M20" s="46"/>
      <c r="N20" s="46"/>
      <c r="O20" s="46"/>
    </row>
    <row r="21" ht="15.75" customHeight="1">
      <c r="E21" s="45"/>
      <c r="G21" s="46"/>
      <c r="H21" s="46"/>
      <c r="I21" s="46"/>
      <c r="J21" s="46"/>
      <c r="K21" s="46"/>
      <c r="L21" s="46"/>
      <c r="M21" s="46"/>
      <c r="N21" s="46"/>
      <c r="O21" s="46"/>
    </row>
    <row r="22" ht="15.75" customHeight="1">
      <c r="E22" s="45"/>
      <c r="G22" s="46"/>
      <c r="H22" s="46"/>
      <c r="I22" s="46"/>
      <c r="J22" s="46"/>
      <c r="K22" s="46"/>
      <c r="L22" s="46"/>
      <c r="M22" s="46"/>
      <c r="N22" s="46"/>
      <c r="O22" s="46"/>
    </row>
    <row r="23" ht="15.75" customHeight="1">
      <c r="E23" s="45"/>
      <c r="G23" s="46"/>
      <c r="H23" s="46"/>
      <c r="I23" s="46"/>
      <c r="J23" s="46"/>
      <c r="K23" s="46"/>
      <c r="L23" s="46"/>
      <c r="M23" s="46"/>
      <c r="N23" s="46"/>
      <c r="O23" s="46"/>
    </row>
    <row r="24" ht="15.75" customHeight="1">
      <c r="E24" s="45"/>
      <c r="G24" s="46"/>
      <c r="H24" s="46"/>
      <c r="I24" s="46"/>
      <c r="J24" s="46"/>
      <c r="K24" s="46"/>
      <c r="L24" s="46"/>
      <c r="M24" s="46"/>
      <c r="N24" s="46"/>
      <c r="O24" s="46"/>
    </row>
    <row r="25" ht="15.75" customHeight="1">
      <c r="E25" s="45"/>
      <c r="G25" s="46"/>
      <c r="H25" s="46"/>
      <c r="I25" s="46"/>
      <c r="J25" s="46"/>
      <c r="K25" s="46"/>
      <c r="L25" s="46"/>
      <c r="M25" s="46"/>
      <c r="N25" s="46"/>
      <c r="O25" s="46"/>
    </row>
    <row r="26" ht="15.75" customHeight="1">
      <c r="E26" s="45"/>
      <c r="G26" s="46"/>
      <c r="H26" s="46"/>
      <c r="I26" s="46"/>
      <c r="J26" s="46"/>
      <c r="K26" s="46"/>
      <c r="L26" s="46"/>
      <c r="M26" s="46"/>
      <c r="N26" s="46"/>
      <c r="O26" s="46"/>
    </row>
    <row r="27" ht="15.75" customHeight="1">
      <c r="E27" s="45"/>
      <c r="G27" s="46"/>
      <c r="H27" s="46"/>
      <c r="I27" s="46"/>
      <c r="J27" s="46"/>
      <c r="K27" s="46"/>
      <c r="L27" s="46"/>
      <c r="M27" s="46"/>
      <c r="N27" s="46"/>
      <c r="O27" s="46"/>
    </row>
    <row r="28" ht="15.75" customHeight="1">
      <c r="E28" s="45"/>
      <c r="G28" s="46"/>
      <c r="H28" s="46"/>
      <c r="I28" s="46"/>
      <c r="J28" s="46"/>
      <c r="K28" s="46"/>
      <c r="L28" s="46"/>
      <c r="M28" s="46"/>
      <c r="N28" s="46"/>
      <c r="O28" s="46"/>
    </row>
    <row r="29" ht="15.75" customHeight="1">
      <c r="E29" s="45"/>
      <c r="G29" s="46"/>
      <c r="H29" s="46"/>
      <c r="I29" s="46"/>
      <c r="J29" s="46"/>
      <c r="K29" s="46"/>
      <c r="L29" s="46"/>
      <c r="M29" s="46"/>
      <c r="N29" s="46"/>
      <c r="O29" s="46"/>
    </row>
    <row r="30" ht="15.75" customHeight="1">
      <c r="E30" s="45"/>
      <c r="G30" s="46"/>
      <c r="H30" s="46"/>
      <c r="I30" s="46"/>
      <c r="J30" s="46"/>
      <c r="K30" s="46"/>
      <c r="L30" s="46"/>
      <c r="M30" s="46"/>
      <c r="N30" s="46"/>
      <c r="O30" s="46"/>
    </row>
    <row r="31" ht="15.75" customHeight="1">
      <c r="E31" s="45"/>
      <c r="G31" s="46"/>
      <c r="H31" s="46"/>
      <c r="I31" s="46"/>
      <c r="J31" s="46"/>
      <c r="K31" s="46"/>
      <c r="L31" s="46"/>
      <c r="M31" s="46"/>
      <c r="N31" s="46"/>
      <c r="O31" s="46"/>
    </row>
    <row r="32" ht="15.75" customHeight="1">
      <c r="E32" s="45"/>
      <c r="G32" s="46"/>
      <c r="H32" s="46"/>
      <c r="I32" s="46"/>
      <c r="J32" s="46"/>
      <c r="K32" s="46"/>
      <c r="L32" s="46"/>
      <c r="M32" s="46"/>
      <c r="N32" s="46"/>
      <c r="O32" s="46"/>
    </row>
    <row r="33" ht="15.75" customHeight="1">
      <c r="E33" s="45"/>
      <c r="G33" s="46"/>
      <c r="H33" s="46"/>
      <c r="I33" s="46"/>
      <c r="J33" s="46"/>
      <c r="K33" s="46"/>
      <c r="L33" s="46"/>
      <c r="M33" s="46"/>
      <c r="N33" s="46"/>
      <c r="O33" s="46"/>
    </row>
    <row r="34" ht="15.75" customHeight="1">
      <c r="E34" s="45"/>
      <c r="G34" s="46"/>
      <c r="H34" s="46"/>
      <c r="I34" s="46"/>
      <c r="J34" s="46"/>
      <c r="K34" s="46"/>
      <c r="L34" s="46"/>
      <c r="M34" s="46"/>
      <c r="N34" s="46"/>
      <c r="O34" s="46"/>
    </row>
    <row r="35" ht="15.75" customHeight="1">
      <c r="E35" s="45"/>
      <c r="G35" s="46"/>
      <c r="H35" s="46"/>
      <c r="I35" s="46"/>
      <c r="J35" s="46"/>
      <c r="K35" s="46"/>
      <c r="L35" s="46"/>
      <c r="M35" s="46"/>
      <c r="N35" s="46"/>
      <c r="O35" s="46"/>
    </row>
    <row r="36" ht="15.75" customHeight="1">
      <c r="E36" s="45"/>
      <c r="G36" s="46"/>
      <c r="H36" s="46"/>
      <c r="I36" s="46"/>
      <c r="J36" s="46"/>
      <c r="K36" s="46"/>
      <c r="L36" s="46"/>
      <c r="M36" s="46"/>
      <c r="N36" s="46"/>
      <c r="O36" s="46"/>
    </row>
    <row r="37" ht="15.75" customHeight="1">
      <c r="E37" s="45"/>
      <c r="G37" s="46"/>
      <c r="H37" s="46"/>
      <c r="I37" s="46"/>
      <c r="J37" s="46"/>
      <c r="K37" s="46"/>
      <c r="L37" s="46"/>
      <c r="M37" s="46"/>
      <c r="N37" s="46"/>
      <c r="O37" s="46"/>
    </row>
    <row r="38" ht="15.75" customHeight="1">
      <c r="E38" s="45"/>
      <c r="G38" s="46"/>
      <c r="H38" s="46"/>
      <c r="I38" s="46"/>
      <c r="J38" s="46"/>
      <c r="K38" s="46"/>
      <c r="L38" s="46"/>
      <c r="M38" s="46"/>
      <c r="N38" s="46"/>
      <c r="O38" s="46"/>
    </row>
    <row r="39" ht="15.75" customHeight="1">
      <c r="E39" s="45"/>
      <c r="G39" s="46"/>
      <c r="H39" s="46"/>
      <c r="I39" s="46"/>
      <c r="J39" s="46"/>
      <c r="K39" s="46"/>
      <c r="L39" s="46"/>
      <c r="M39" s="46"/>
      <c r="N39" s="46"/>
      <c r="O39" s="46"/>
    </row>
    <row r="40" ht="15.75" customHeight="1">
      <c r="E40" s="45"/>
      <c r="G40" s="46"/>
      <c r="H40" s="46"/>
      <c r="I40" s="46"/>
      <c r="J40" s="46"/>
      <c r="K40" s="46"/>
      <c r="L40" s="46"/>
      <c r="M40" s="46"/>
      <c r="N40" s="46"/>
      <c r="O40" s="46"/>
    </row>
    <row r="41" ht="15.75" customHeight="1">
      <c r="E41" s="45"/>
      <c r="G41" s="46"/>
      <c r="H41" s="46"/>
      <c r="I41" s="46"/>
      <c r="J41" s="46"/>
      <c r="K41" s="46"/>
      <c r="L41" s="46"/>
      <c r="M41" s="46"/>
      <c r="N41" s="46"/>
      <c r="O41" s="46"/>
    </row>
    <row r="42" ht="15.75" customHeight="1">
      <c r="E42" s="45"/>
      <c r="G42" s="46"/>
      <c r="H42" s="46"/>
      <c r="I42" s="46"/>
      <c r="J42" s="46"/>
      <c r="K42" s="46"/>
      <c r="L42" s="46"/>
      <c r="M42" s="46"/>
      <c r="N42" s="46"/>
      <c r="O42" s="46"/>
    </row>
    <row r="43" ht="15.75" customHeight="1">
      <c r="E43" s="45"/>
      <c r="G43" s="46"/>
      <c r="H43" s="46"/>
      <c r="I43" s="46"/>
      <c r="J43" s="46"/>
      <c r="K43" s="46"/>
      <c r="L43" s="46"/>
      <c r="M43" s="46"/>
      <c r="N43" s="46"/>
      <c r="O43" s="46"/>
    </row>
    <row r="44" ht="15.75" customHeight="1">
      <c r="E44" s="45"/>
      <c r="G44" s="46"/>
      <c r="H44" s="46"/>
      <c r="I44" s="46"/>
      <c r="J44" s="46"/>
      <c r="K44" s="46"/>
      <c r="L44" s="46"/>
      <c r="M44" s="46"/>
      <c r="N44" s="46"/>
      <c r="O44" s="46"/>
    </row>
    <row r="45" ht="15.75" customHeight="1">
      <c r="E45" s="45"/>
      <c r="G45" s="46"/>
      <c r="H45" s="46"/>
      <c r="I45" s="46"/>
      <c r="J45" s="46"/>
      <c r="K45" s="46"/>
      <c r="L45" s="46"/>
      <c r="M45" s="46"/>
      <c r="N45" s="46"/>
      <c r="O45" s="46"/>
    </row>
    <row r="46" ht="15.75" customHeight="1">
      <c r="E46" s="45"/>
      <c r="G46" s="46"/>
      <c r="H46" s="46"/>
      <c r="I46" s="46"/>
      <c r="J46" s="46"/>
      <c r="K46" s="46"/>
      <c r="L46" s="46"/>
      <c r="M46" s="46"/>
      <c r="N46" s="46"/>
      <c r="O46" s="46"/>
    </row>
    <row r="47" ht="15.75" customHeight="1">
      <c r="E47" s="45"/>
      <c r="G47" s="46"/>
      <c r="H47" s="46"/>
      <c r="I47" s="46"/>
      <c r="J47" s="46"/>
      <c r="K47" s="46"/>
      <c r="L47" s="46"/>
      <c r="M47" s="46"/>
      <c r="N47" s="46"/>
      <c r="O47" s="46"/>
    </row>
    <row r="48" ht="15.75" customHeight="1">
      <c r="E48" s="45"/>
      <c r="G48" s="46"/>
      <c r="H48" s="46"/>
      <c r="I48" s="46"/>
      <c r="J48" s="46"/>
      <c r="K48" s="46"/>
      <c r="L48" s="46"/>
      <c r="M48" s="46"/>
      <c r="N48" s="46"/>
      <c r="O48" s="46"/>
    </row>
    <row r="49" ht="15.75" customHeight="1">
      <c r="E49" s="45"/>
      <c r="G49" s="46"/>
      <c r="H49" s="46"/>
      <c r="I49" s="46"/>
      <c r="J49" s="46"/>
      <c r="K49" s="46"/>
      <c r="L49" s="46"/>
      <c r="M49" s="46"/>
      <c r="N49" s="46"/>
      <c r="O49" s="46"/>
    </row>
    <row r="50" ht="15.75" customHeight="1">
      <c r="E50" s="45"/>
      <c r="G50" s="46"/>
      <c r="H50" s="46"/>
      <c r="I50" s="46"/>
      <c r="J50" s="46"/>
      <c r="K50" s="46"/>
      <c r="L50" s="46"/>
      <c r="M50" s="46"/>
      <c r="N50" s="46"/>
      <c r="O50" s="46"/>
    </row>
    <row r="51" ht="15.75" customHeight="1">
      <c r="E51" s="45"/>
      <c r="G51" s="46"/>
      <c r="H51" s="46"/>
      <c r="I51" s="46"/>
      <c r="J51" s="46"/>
      <c r="K51" s="46"/>
      <c r="L51" s="46"/>
      <c r="M51" s="46"/>
      <c r="N51" s="46"/>
      <c r="O51" s="46"/>
    </row>
    <row r="52" ht="15.75" customHeight="1">
      <c r="E52" s="45"/>
      <c r="G52" s="46"/>
      <c r="H52" s="46"/>
      <c r="I52" s="46"/>
      <c r="J52" s="46"/>
      <c r="K52" s="46"/>
      <c r="L52" s="46"/>
      <c r="M52" s="46"/>
      <c r="N52" s="46"/>
      <c r="O52" s="46"/>
    </row>
    <row r="53" ht="15.75" customHeight="1">
      <c r="E53" s="45"/>
      <c r="G53" s="46"/>
      <c r="H53" s="46"/>
      <c r="I53" s="46"/>
      <c r="J53" s="46"/>
      <c r="K53" s="46"/>
      <c r="L53" s="46"/>
      <c r="M53" s="46"/>
      <c r="N53" s="46"/>
      <c r="O53" s="46"/>
    </row>
    <row r="54" ht="15.75" customHeight="1">
      <c r="E54" s="45"/>
      <c r="G54" s="46"/>
      <c r="H54" s="46"/>
      <c r="I54" s="46"/>
      <c r="J54" s="46"/>
      <c r="K54" s="46"/>
      <c r="L54" s="46"/>
      <c r="M54" s="46"/>
      <c r="N54" s="46"/>
      <c r="O54" s="46"/>
    </row>
    <row r="55" ht="15.75" customHeight="1">
      <c r="E55" s="45"/>
      <c r="G55" s="46"/>
      <c r="H55" s="46"/>
      <c r="I55" s="46"/>
      <c r="J55" s="46"/>
      <c r="K55" s="46"/>
      <c r="L55" s="46"/>
      <c r="M55" s="46"/>
      <c r="N55" s="46"/>
      <c r="O55" s="46"/>
    </row>
    <row r="56" ht="15.75" customHeight="1">
      <c r="E56" s="45"/>
      <c r="G56" s="46"/>
      <c r="H56" s="46"/>
      <c r="I56" s="46"/>
      <c r="J56" s="46"/>
      <c r="K56" s="46"/>
      <c r="L56" s="46"/>
      <c r="M56" s="46"/>
      <c r="N56" s="46"/>
      <c r="O56" s="46"/>
    </row>
    <row r="57" ht="15.75" customHeight="1">
      <c r="E57" s="45"/>
      <c r="G57" s="46"/>
      <c r="H57" s="46"/>
      <c r="I57" s="46"/>
      <c r="J57" s="46"/>
      <c r="K57" s="46"/>
      <c r="L57" s="46"/>
      <c r="M57" s="46"/>
      <c r="N57" s="46"/>
      <c r="O57" s="46"/>
    </row>
    <row r="58" ht="15.75" customHeight="1">
      <c r="E58" s="45"/>
      <c r="G58" s="46"/>
      <c r="H58" s="46"/>
      <c r="I58" s="46"/>
      <c r="J58" s="46"/>
      <c r="K58" s="46"/>
      <c r="L58" s="46"/>
      <c r="M58" s="46"/>
      <c r="N58" s="46"/>
      <c r="O58" s="46"/>
    </row>
    <row r="59" ht="15.75" customHeight="1">
      <c r="E59" s="45"/>
      <c r="G59" s="46"/>
      <c r="H59" s="46"/>
      <c r="I59" s="46"/>
      <c r="J59" s="46"/>
      <c r="K59" s="46"/>
      <c r="L59" s="46"/>
      <c r="M59" s="46"/>
      <c r="N59" s="46"/>
      <c r="O59" s="46"/>
    </row>
    <row r="60" ht="15.75" customHeight="1">
      <c r="E60" s="45"/>
      <c r="G60" s="46"/>
      <c r="H60" s="46"/>
      <c r="I60" s="46"/>
      <c r="J60" s="46"/>
      <c r="K60" s="46"/>
      <c r="L60" s="46"/>
      <c r="M60" s="46"/>
      <c r="N60" s="46"/>
      <c r="O60" s="46"/>
    </row>
    <row r="61" ht="15.75" customHeight="1">
      <c r="E61" s="45"/>
      <c r="G61" s="46"/>
      <c r="H61" s="46"/>
      <c r="I61" s="46"/>
      <c r="J61" s="46"/>
      <c r="K61" s="46"/>
      <c r="L61" s="46"/>
      <c r="M61" s="46"/>
      <c r="N61" s="46"/>
      <c r="O61" s="46"/>
    </row>
    <row r="62" ht="15.75" customHeight="1">
      <c r="E62" s="45"/>
      <c r="G62" s="46"/>
      <c r="H62" s="46"/>
      <c r="I62" s="46"/>
      <c r="J62" s="46"/>
      <c r="K62" s="46"/>
      <c r="L62" s="46"/>
      <c r="M62" s="46"/>
      <c r="N62" s="46"/>
      <c r="O62" s="46"/>
    </row>
    <row r="63" ht="15.75" customHeight="1">
      <c r="E63" s="45"/>
      <c r="G63" s="46"/>
      <c r="H63" s="46"/>
      <c r="I63" s="46"/>
      <c r="J63" s="46"/>
      <c r="K63" s="46"/>
      <c r="L63" s="46"/>
      <c r="M63" s="46"/>
      <c r="N63" s="46"/>
      <c r="O63" s="46"/>
    </row>
    <row r="64" ht="15.75" customHeight="1">
      <c r="E64" s="45"/>
      <c r="G64" s="46"/>
      <c r="H64" s="46"/>
      <c r="I64" s="46"/>
      <c r="J64" s="46"/>
      <c r="K64" s="46"/>
      <c r="L64" s="46"/>
      <c r="M64" s="46"/>
      <c r="N64" s="46"/>
      <c r="O64" s="46"/>
    </row>
    <row r="65" ht="15.75" customHeight="1">
      <c r="E65" s="45"/>
      <c r="G65" s="46"/>
      <c r="H65" s="46"/>
      <c r="I65" s="46"/>
      <c r="J65" s="46"/>
      <c r="K65" s="46"/>
      <c r="L65" s="46"/>
      <c r="M65" s="46"/>
      <c r="N65" s="46"/>
      <c r="O65" s="46"/>
    </row>
    <row r="66" ht="15.75" customHeight="1">
      <c r="E66" s="45"/>
      <c r="G66" s="46"/>
      <c r="H66" s="46"/>
      <c r="I66" s="46"/>
      <c r="J66" s="46"/>
      <c r="K66" s="46"/>
      <c r="L66" s="46"/>
      <c r="M66" s="46"/>
      <c r="N66" s="46"/>
      <c r="O66" s="46"/>
    </row>
    <row r="67" ht="15.75" customHeight="1">
      <c r="E67" s="45"/>
      <c r="G67" s="46"/>
      <c r="H67" s="46"/>
      <c r="I67" s="46"/>
      <c r="J67" s="46"/>
      <c r="K67" s="46"/>
      <c r="L67" s="46"/>
      <c r="M67" s="46"/>
      <c r="N67" s="46"/>
      <c r="O67" s="46"/>
    </row>
    <row r="68" ht="15.75" customHeight="1">
      <c r="E68" s="45"/>
      <c r="G68" s="46"/>
      <c r="H68" s="46"/>
      <c r="I68" s="46"/>
      <c r="J68" s="46"/>
      <c r="K68" s="46"/>
      <c r="L68" s="46"/>
      <c r="M68" s="46"/>
      <c r="N68" s="46"/>
      <c r="O68" s="46"/>
    </row>
    <row r="69" ht="15.75" customHeight="1">
      <c r="E69" s="45"/>
      <c r="G69" s="46"/>
      <c r="H69" s="46"/>
      <c r="I69" s="46"/>
      <c r="J69" s="46"/>
      <c r="K69" s="46"/>
      <c r="L69" s="46"/>
      <c r="M69" s="46"/>
      <c r="N69" s="46"/>
      <c r="O69" s="46"/>
    </row>
    <row r="70" ht="15.75" customHeight="1">
      <c r="E70" s="45"/>
      <c r="G70" s="46"/>
      <c r="H70" s="46"/>
      <c r="I70" s="46"/>
      <c r="J70" s="46"/>
      <c r="K70" s="46"/>
      <c r="L70" s="46"/>
      <c r="M70" s="46"/>
      <c r="N70" s="46"/>
      <c r="O70" s="46"/>
    </row>
    <row r="71" ht="15.75" customHeight="1">
      <c r="E71" s="45"/>
      <c r="G71" s="46"/>
      <c r="H71" s="46"/>
      <c r="I71" s="46"/>
      <c r="J71" s="46"/>
      <c r="K71" s="46"/>
      <c r="L71" s="46"/>
      <c r="M71" s="46"/>
      <c r="N71" s="46"/>
      <c r="O71" s="46"/>
    </row>
    <row r="72" ht="15.75" customHeight="1">
      <c r="E72" s="45"/>
      <c r="G72" s="46"/>
      <c r="H72" s="46"/>
      <c r="I72" s="46"/>
      <c r="J72" s="46"/>
      <c r="K72" s="46"/>
      <c r="L72" s="46"/>
      <c r="M72" s="46"/>
      <c r="N72" s="46"/>
      <c r="O72" s="46"/>
    </row>
    <row r="73" ht="15.75" customHeight="1">
      <c r="E73" s="45"/>
      <c r="G73" s="46"/>
      <c r="H73" s="46"/>
      <c r="I73" s="46"/>
      <c r="J73" s="46"/>
      <c r="K73" s="46"/>
      <c r="L73" s="46"/>
      <c r="M73" s="46"/>
      <c r="N73" s="46"/>
      <c r="O73" s="46"/>
    </row>
    <row r="74" ht="15.75" customHeight="1">
      <c r="E74" s="45"/>
      <c r="G74" s="46"/>
      <c r="H74" s="46"/>
      <c r="I74" s="46"/>
      <c r="J74" s="46"/>
      <c r="K74" s="46"/>
      <c r="L74" s="46"/>
      <c r="M74" s="46"/>
      <c r="N74" s="46"/>
      <c r="O74" s="46"/>
    </row>
    <row r="75" ht="15.75" customHeight="1">
      <c r="E75" s="45"/>
      <c r="G75" s="46"/>
      <c r="H75" s="46"/>
      <c r="I75" s="46"/>
      <c r="J75" s="46"/>
      <c r="K75" s="46"/>
      <c r="L75" s="46"/>
      <c r="M75" s="46"/>
      <c r="N75" s="46"/>
      <c r="O75" s="46"/>
    </row>
    <row r="76" ht="15.75" customHeight="1">
      <c r="E76" s="45"/>
      <c r="G76" s="46"/>
      <c r="H76" s="46"/>
      <c r="I76" s="46"/>
      <c r="J76" s="46"/>
      <c r="K76" s="46"/>
      <c r="L76" s="46"/>
      <c r="M76" s="46"/>
      <c r="N76" s="46"/>
      <c r="O76" s="46"/>
    </row>
    <row r="77" ht="15.75" customHeight="1">
      <c r="E77" s="45"/>
      <c r="G77" s="46"/>
      <c r="H77" s="46"/>
      <c r="I77" s="46"/>
      <c r="J77" s="46"/>
      <c r="K77" s="46"/>
      <c r="L77" s="46"/>
      <c r="M77" s="46"/>
      <c r="N77" s="46"/>
      <c r="O77" s="46"/>
    </row>
    <row r="78" ht="15.75" customHeight="1">
      <c r="E78" s="45"/>
      <c r="G78" s="46"/>
      <c r="H78" s="46"/>
      <c r="I78" s="46"/>
      <c r="J78" s="46"/>
      <c r="K78" s="46"/>
      <c r="L78" s="46"/>
      <c r="M78" s="46"/>
      <c r="N78" s="46"/>
      <c r="O78" s="46"/>
    </row>
    <row r="79" ht="15.75" customHeight="1">
      <c r="E79" s="45"/>
      <c r="G79" s="46"/>
      <c r="H79" s="46"/>
      <c r="I79" s="46"/>
      <c r="J79" s="46"/>
      <c r="K79" s="46"/>
      <c r="L79" s="46"/>
      <c r="M79" s="46"/>
      <c r="N79" s="46"/>
      <c r="O79" s="46"/>
    </row>
    <row r="80" ht="15.75" customHeight="1">
      <c r="E80" s="45"/>
      <c r="G80" s="46"/>
      <c r="H80" s="46"/>
      <c r="I80" s="46"/>
      <c r="J80" s="46"/>
      <c r="K80" s="46"/>
      <c r="L80" s="46"/>
      <c r="M80" s="46"/>
      <c r="N80" s="46"/>
      <c r="O80" s="46"/>
    </row>
    <row r="81" ht="15.75" customHeight="1">
      <c r="E81" s="45"/>
      <c r="G81" s="46"/>
      <c r="H81" s="46"/>
      <c r="I81" s="46"/>
      <c r="J81" s="46"/>
      <c r="K81" s="46"/>
      <c r="L81" s="46"/>
      <c r="M81" s="46"/>
      <c r="N81" s="46"/>
      <c r="O81" s="46"/>
    </row>
    <row r="82" ht="15.75" customHeight="1">
      <c r="E82" s="45"/>
      <c r="G82" s="46"/>
      <c r="H82" s="46"/>
      <c r="I82" s="46"/>
      <c r="J82" s="46"/>
      <c r="K82" s="46"/>
      <c r="L82" s="46"/>
      <c r="M82" s="46"/>
      <c r="N82" s="46"/>
      <c r="O82" s="46"/>
    </row>
    <row r="83" ht="15.75" customHeight="1">
      <c r="E83" s="45"/>
      <c r="G83" s="46"/>
      <c r="H83" s="46"/>
      <c r="I83" s="46"/>
      <c r="J83" s="46"/>
      <c r="K83" s="46"/>
      <c r="L83" s="46"/>
      <c r="M83" s="46"/>
      <c r="N83" s="46"/>
      <c r="O83" s="46"/>
    </row>
    <row r="84" ht="15.75" customHeight="1">
      <c r="E84" s="45"/>
      <c r="G84" s="46"/>
      <c r="H84" s="46"/>
      <c r="I84" s="46"/>
      <c r="J84" s="46"/>
      <c r="K84" s="46"/>
      <c r="L84" s="46"/>
      <c r="M84" s="46"/>
      <c r="N84" s="46"/>
      <c r="O84" s="46"/>
    </row>
    <row r="85" ht="15.75" customHeight="1">
      <c r="E85" s="45"/>
      <c r="G85" s="46"/>
      <c r="H85" s="46"/>
      <c r="I85" s="46"/>
      <c r="J85" s="46"/>
      <c r="K85" s="46"/>
      <c r="L85" s="46"/>
      <c r="M85" s="46"/>
      <c r="N85" s="46"/>
      <c r="O85" s="46"/>
    </row>
    <row r="86" ht="15.75" customHeight="1">
      <c r="E86" s="45"/>
      <c r="G86" s="46"/>
      <c r="H86" s="46"/>
      <c r="I86" s="46"/>
      <c r="J86" s="46"/>
      <c r="K86" s="46"/>
      <c r="L86" s="46"/>
      <c r="M86" s="46"/>
      <c r="N86" s="46"/>
      <c r="O86" s="46"/>
    </row>
    <row r="87" ht="15.75" customHeight="1">
      <c r="E87" s="45"/>
      <c r="G87" s="46"/>
      <c r="H87" s="46"/>
      <c r="I87" s="46"/>
      <c r="J87" s="46"/>
      <c r="K87" s="46"/>
      <c r="L87" s="46"/>
      <c r="M87" s="46"/>
      <c r="N87" s="46"/>
      <c r="O87" s="46"/>
    </row>
    <row r="88" ht="15.75" customHeight="1">
      <c r="E88" s="45"/>
      <c r="G88" s="46"/>
      <c r="H88" s="46"/>
      <c r="I88" s="46"/>
      <c r="J88" s="46"/>
      <c r="K88" s="46"/>
      <c r="L88" s="46"/>
      <c r="M88" s="46"/>
      <c r="N88" s="46"/>
      <c r="O88" s="46"/>
    </row>
    <row r="89" ht="15.75" customHeight="1">
      <c r="E89" s="45"/>
      <c r="G89" s="46"/>
      <c r="H89" s="46"/>
      <c r="I89" s="46"/>
      <c r="J89" s="46"/>
      <c r="K89" s="46"/>
      <c r="L89" s="46"/>
      <c r="M89" s="46"/>
      <c r="N89" s="46"/>
      <c r="O89" s="46"/>
    </row>
    <row r="90" ht="15.75" customHeight="1">
      <c r="E90" s="45"/>
      <c r="G90" s="46"/>
      <c r="H90" s="46"/>
      <c r="I90" s="46"/>
      <c r="J90" s="46"/>
      <c r="K90" s="46"/>
      <c r="L90" s="46"/>
      <c r="M90" s="46"/>
      <c r="N90" s="46"/>
      <c r="O90" s="46"/>
    </row>
    <row r="91" ht="15.75" customHeight="1">
      <c r="E91" s="45"/>
      <c r="G91" s="46"/>
      <c r="H91" s="46"/>
      <c r="I91" s="46"/>
      <c r="J91" s="46"/>
      <c r="K91" s="46"/>
      <c r="L91" s="46"/>
      <c r="M91" s="46"/>
      <c r="N91" s="46"/>
      <c r="O91" s="46"/>
    </row>
    <row r="92" ht="15.75" customHeight="1">
      <c r="E92" s="45"/>
      <c r="G92" s="46"/>
      <c r="H92" s="46"/>
      <c r="I92" s="46"/>
      <c r="J92" s="46"/>
      <c r="K92" s="46"/>
      <c r="L92" s="46"/>
      <c r="M92" s="46"/>
      <c r="N92" s="46"/>
      <c r="O92" s="46"/>
    </row>
    <row r="93" ht="15.75" customHeight="1">
      <c r="E93" s="45"/>
      <c r="G93" s="46"/>
      <c r="H93" s="46"/>
      <c r="I93" s="46"/>
      <c r="J93" s="46"/>
      <c r="K93" s="46"/>
      <c r="L93" s="46"/>
      <c r="M93" s="46"/>
      <c r="N93" s="46"/>
      <c r="O93" s="46"/>
    </row>
    <row r="94" ht="15.75" customHeight="1">
      <c r="E94" s="45"/>
      <c r="G94" s="46"/>
      <c r="H94" s="46"/>
      <c r="I94" s="46"/>
      <c r="J94" s="46"/>
      <c r="K94" s="46"/>
      <c r="L94" s="46"/>
      <c r="M94" s="46"/>
      <c r="N94" s="46"/>
      <c r="O94" s="46"/>
    </row>
    <row r="95" ht="15.75" customHeight="1">
      <c r="E95" s="45"/>
      <c r="G95" s="46"/>
      <c r="H95" s="46"/>
      <c r="I95" s="46"/>
      <c r="J95" s="46"/>
      <c r="K95" s="46"/>
      <c r="L95" s="46"/>
      <c r="M95" s="46"/>
      <c r="N95" s="46"/>
      <c r="O95" s="46"/>
    </row>
    <row r="96" ht="15.75" customHeight="1">
      <c r="E96" s="45"/>
      <c r="G96" s="46"/>
      <c r="H96" s="46"/>
      <c r="I96" s="46"/>
      <c r="J96" s="46"/>
      <c r="K96" s="46"/>
      <c r="L96" s="46"/>
      <c r="M96" s="46"/>
      <c r="N96" s="46"/>
      <c r="O96" s="46"/>
    </row>
    <row r="97" ht="15.75" customHeight="1">
      <c r="E97" s="45"/>
      <c r="G97" s="46"/>
      <c r="H97" s="46"/>
      <c r="I97" s="46"/>
      <c r="J97" s="46"/>
      <c r="K97" s="46"/>
      <c r="L97" s="46"/>
      <c r="M97" s="46"/>
      <c r="N97" s="46"/>
      <c r="O97" s="46"/>
    </row>
    <row r="98" ht="15.75" customHeight="1">
      <c r="E98" s="45"/>
      <c r="G98" s="46"/>
      <c r="H98" s="46"/>
      <c r="I98" s="46"/>
      <c r="J98" s="46"/>
      <c r="K98" s="46"/>
      <c r="L98" s="46"/>
      <c r="M98" s="46"/>
      <c r="N98" s="46"/>
      <c r="O98" s="46"/>
    </row>
    <row r="99" ht="15.75" customHeight="1">
      <c r="E99" s="45"/>
      <c r="G99" s="46"/>
      <c r="H99" s="46"/>
      <c r="I99" s="46"/>
      <c r="J99" s="46"/>
      <c r="K99" s="46"/>
      <c r="L99" s="46"/>
      <c r="M99" s="46"/>
      <c r="N99" s="46"/>
      <c r="O99" s="46"/>
    </row>
    <row r="100" ht="15.75" customHeight="1">
      <c r="E100" s="45"/>
      <c r="G100" s="46"/>
      <c r="H100" s="46"/>
      <c r="I100" s="46"/>
      <c r="J100" s="46"/>
      <c r="K100" s="46"/>
      <c r="L100" s="46"/>
      <c r="M100" s="46"/>
      <c r="N100" s="46"/>
      <c r="O100" s="46"/>
    </row>
    <row r="101" ht="15.75" customHeight="1">
      <c r="E101" s="45"/>
      <c r="G101" s="46"/>
      <c r="H101" s="46"/>
      <c r="I101" s="46"/>
      <c r="J101" s="46"/>
      <c r="K101" s="46"/>
      <c r="L101" s="46"/>
      <c r="M101" s="46"/>
      <c r="N101" s="46"/>
      <c r="O101" s="46"/>
    </row>
    <row r="102" ht="15.75" customHeight="1">
      <c r="E102" s="45"/>
      <c r="G102" s="46"/>
      <c r="H102" s="46"/>
      <c r="I102" s="46"/>
      <c r="J102" s="46"/>
      <c r="K102" s="46"/>
      <c r="L102" s="46"/>
      <c r="M102" s="46"/>
      <c r="N102" s="46"/>
      <c r="O102" s="46"/>
    </row>
    <row r="103" ht="15.75" customHeight="1">
      <c r="E103" s="45"/>
      <c r="G103" s="46"/>
      <c r="H103" s="46"/>
      <c r="I103" s="46"/>
      <c r="J103" s="46"/>
      <c r="K103" s="46"/>
      <c r="L103" s="46"/>
      <c r="M103" s="46"/>
      <c r="N103" s="46"/>
      <c r="O103" s="46"/>
    </row>
    <row r="104" ht="15.75" customHeight="1">
      <c r="E104" s="45"/>
      <c r="G104" s="46"/>
      <c r="H104" s="46"/>
      <c r="I104" s="46"/>
      <c r="J104" s="46"/>
      <c r="K104" s="46"/>
      <c r="L104" s="46"/>
      <c r="M104" s="46"/>
      <c r="N104" s="46"/>
      <c r="O104" s="46"/>
    </row>
    <row r="105" ht="15.75" customHeight="1">
      <c r="E105" s="45"/>
      <c r="G105" s="46"/>
      <c r="H105" s="46"/>
      <c r="I105" s="46"/>
      <c r="J105" s="46"/>
      <c r="K105" s="46"/>
      <c r="L105" s="46"/>
      <c r="M105" s="46"/>
      <c r="N105" s="46"/>
      <c r="O105" s="46"/>
    </row>
    <row r="106" ht="15.75" customHeight="1">
      <c r="E106" s="45"/>
      <c r="G106" s="46"/>
      <c r="H106" s="46"/>
      <c r="I106" s="46"/>
      <c r="J106" s="46"/>
      <c r="K106" s="46"/>
      <c r="L106" s="46"/>
      <c r="M106" s="46"/>
      <c r="N106" s="46"/>
      <c r="O106" s="46"/>
    </row>
    <row r="107" ht="15.75" customHeight="1">
      <c r="E107" s="45"/>
      <c r="G107" s="46"/>
      <c r="H107" s="46"/>
      <c r="I107" s="46"/>
      <c r="J107" s="46"/>
      <c r="K107" s="46"/>
      <c r="L107" s="46"/>
      <c r="M107" s="46"/>
      <c r="N107" s="46"/>
      <c r="O107" s="46"/>
    </row>
    <row r="108" ht="15.75" customHeight="1">
      <c r="E108" s="45"/>
      <c r="G108" s="46"/>
      <c r="H108" s="46"/>
      <c r="I108" s="46"/>
      <c r="J108" s="46"/>
      <c r="K108" s="46"/>
      <c r="L108" s="46"/>
      <c r="M108" s="46"/>
      <c r="N108" s="46"/>
      <c r="O108" s="46"/>
    </row>
    <row r="109" ht="15.75" customHeight="1">
      <c r="E109" s="45"/>
      <c r="G109" s="46"/>
      <c r="H109" s="46"/>
      <c r="I109" s="46"/>
      <c r="J109" s="46"/>
      <c r="K109" s="46"/>
      <c r="L109" s="46"/>
      <c r="M109" s="46"/>
      <c r="N109" s="46"/>
      <c r="O109" s="46"/>
    </row>
    <row r="110" ht="15.75" customHeight="1">
      <c r="E110" s="45"/>
      <c r="G110" s="46"/>
      <c r="H110" s="46"/>
      <c r="I110" s="46"/>
      <c r="J110" s="46"/>
      <c r="K110" s="46"/>
      <c r="L110" s="46"/>
      <c r="M110" s="46"/>
      <c r="N110" s="46"/>
      <c r="O110" s="46"/>
    </row>
    <row r="111" ht="15.75" customHeight="1">
      <c r="E111" s="45"/>
      <c r="G111" s="46"/>
      <c r="H111" s="46"/>
      <c r="I111" s="46"/>
      <c r="J111" s="46"/>
      <c r="K111" s="46"/>
      <c r="L111" s="46"/>
      <c r="M111" s="46"/>
      <c r="N111" s="46"/>
      <c r="O111" s="46"/>
    </row>
    <row r="112" ht="15.75" customHeight="1">
      <c r="E112" s="45"/>
      <c r="G112" s="46"/>
      <c r="H112" s="46"/>
      <c r="I112" s="46"/>
      <c r="J112" s="46"/>
      <c r="K112" s="46"/>
      <c r="L112" s="46"/>
      <c r="M112" s="46"/>
      <c r="N112" s="46"/>
      <c r="O112" s="46"/>
    </row>
    <row r="113" ht="15.75" customHeight="1">
      <c r="E113" s="45"/>
      <c r="G113" s="46"/>
      <c r="H113" s="46"/>
      <c r="I113" s="46"/>
      <c r="J113" s="46"/>
      <c r="K113" s="46"/>
      <c r="L113" s="46"/>
      <c r="M113" s="46"/>
      <c r="N113" s="46"/>
      <c r="O113" s="46"/>
    </row>
    <row r="114" ht="15.75" customHeight="1">
      <c r="E114" s="45"/>
      <c r="G114" s="46"/>
      <c r="H114" s="46"/>
      <c r="I114" s="46"/>
      <c r="J114" s="46"/>
      <c r="K114" s="46"/>
      <c r="L114" s="46"/>
      <c r="M114" s="46"/>
      <c r="N114" s="46"/>
      <c r="O114" s="46"/>
    </row>
    <row r="115" ht="15.75" customHeight="1">
      <c r="E115" s="45"/>
      <c r="G115" s="46"/>
      <c r="H115" s="46"/>
      <c r="I115" s="46"/>
      <c r="J115" s="46"/>
      <c r="K115" s="46"/>
      <c r="L115" s="46"/>
      <c r="M115" s="46"/>
      <c r="N115" s="46"/>
      <c r="O115" s="46"/>
    </row>
    <row r="116" ht="15.75" customHeight="1">
      <c r="E116" s="45"/>
      <c r="G116" s="46"/>
      <c r="H116" s="46"/>
      <c r="I116" s="46"/>
      <c r="J116" s="46"/>
      <c r="K116" s="46"/>
      <c r="L116" s="46"/>
      <c r="M116" s="46"/>
      <c r="N116" s="46"/>
      <c r="O116" s="46"/>
    </row>
    <row r="117" ht="15.75" customHeight="1">
      <c r="E117" s="45"/>
      <c r="G117" s="46"/>
      <c r="H117" s="46"/>
      <c r="I117" s="46"/>
      <c r="J117" s="46"/>
      <c r="K117" s="46"/>
      <c r="L117" s="46"/>
      <c r="M117" s="46"/>
      <c r="N117" s="46"/>
      <c r="O117" s="46"/>
    </row>
    <row r="118" ht="15.75" customHeight="1">
      <c r="E118" s="45"/>
      <c r="G118" s="46"/>
      <c r="H118" s="46"/>
      <c r="I118" s="46"/>
      <c r="J118" s="46"/>
      <c r="K118" s="46"/>
      <c r="L118" s="46"/>
      <c r="M118" s="46"/>
      <c r="N118" s="46"/>
      <c r="O118" s="46"/>
    </row>
    <row r="119" ht="15.75" customHeight="1">
      <c r="E119" s="45"/>
      <c r="G119" s="46"/>
      <c r="H119" s="46"/>
      <c r="I119" s="46"/>
      <c r="J119" s="46"/>
      <c r="K119" s="46"/>
      <c r="L119" s="46"/>
      <c r="M119" s="46"/>
      <c r="N119" s="46"/>
      <c r="O119" s="46"/>
    </row>
    <row r="120" ht="15.75" customHeight="1">
      <c r="E120" s="45"/>
      <c r="G120" s="46"/>
      <c r="H120" s="46"/>
      <c r="I120" s="46"/>
      <c r="J120" s="46"/>
      <c r="K120" s="46"/>
      <c r="L120" s="46"/>
      <c r="M120" s="46"/>
      <c r="N120" s="46"/>
      <c r="O120" s="46"/>
    </row>
    <row r="121" ht="15.75" customHeight="1">
      <c r="E121" s="45"/>
      <c r="G121" s="46"/>
      <c r="H121" s="46"/>
      <c r="I121" s="46"/>
      <c r="J121" s="46"/>
      <c r="K121" s="46"/>
      <c r="L121" s="46"/>
      <c r="M121" s="46"/>
      <c r="N121" s="46"/>
      <c r="O121" s="46"/>
    </row>
    <row r="122" ht="15.75" customHeight="1">
      <c r="E122" s="45"/>
      <c r="G122" s="46"/>
      <c r="H122" s="46"/>
      <c r="I122" s="46"/>
      <c r="J122" s="46"/>
      <c r="K122" s="46"/>
      <c r="L122" s="46"/>
      <c r="M122" s="46"/>
      <c r="N122" s="46"/>
      <c r="O122" s="46"/>
    </row>
    <row r="123" ht="15.75" customHeight="1">
      <c r="E123" s="45"/>
      <c r="G123" s="46"/>
      <c r="H123" s="46"/>
      <c r="I123" s="46"/>
      <c r="J123" s="46"/>
      <c r="K123" s="46"/>
      <c r="L123" s="46"/>
      <c r="M123" s="46"/>
      <c r="N123" s="46"/>
      <c r="O123" s="46"/>
    </row>
    <row r="124" ht="15.75" customHeight="1">
      <c r="E124" s="45"/>
      <c r="G124" s="46"/>
      <c r="H124" s="46"/>
      <c r="I124" s="46"/>
      <c r="J124" s="46"/>
      <c r="K124" s="46"/>
      <c r="L124" s="46"/>
      <c r="M124" s="46"/>
      <c r="N124" s="46"/>
      <c r="O124" s="46"/>
    </row>
    <row r="125" ht="15.75" customHeight="1">
      <c r="E125" s="45"/>
      <c r="G125" s="46"/>
      <c r="H125" s="46"/>
      <c r="I125" s="46"/>
      <c r="J125" s="46"/>
      <c r="K125" s="46"/>
      <c r="L125" s="46"/>
      <c r="M125" s="46"/>
      <c r="N125" s="46"/>
      <c r="O125" s="46"/>
    </row>
    <row r="126" ht="15.75" customHeight="1">
      <c r="E126" s="45"/>
      <c r="G126" s="46"/>
      <c r="H126" s="46"/>
      <c r="I126" s="46"/>
      <c r="J126" s="46"/>
      <c r="K126" s="46"/>
      <c r="L126" s="46"/>
      <c r="M126" s="46"/>
      <c r="N126" s="46"/>
      <c r="O126" s="46"/>
    </row>
    <row r="127" ht="15.75" customHeight="1">
      <c r="E127" s="45"/>
      <c r="G127" s="46"/>
      <c r="H127" s="46"/>
      <c r="I127" s="46"/>
      <c r="J127" s="46"/>
      <c r="K127" s="46"/>
      <c r="L127" s="46"/>
      <c r="M127" s="46"/>
      <c r="N127" s="46"/>
      <c r="O127" s="46"/>
    </row>
    <row r="128" ht="15.75" customHeight="1">
      <c r="E128" s="45"/>
      <c r="G128" s="46"/>
      <c r="H128" s="46"/>
      <c r="I128" s="46"/>
      <c r="J128" s="46"/>
      <c r="K128" s="46"/>
      <c r="L128" s="46"/>
      <c r="M128" s="46"/>
      <c r="N128" s="46"/>
      <c r="O128" s="46"/>
    </row>
    <row r="129" ht="15.75" customHeight="1">
      <c r="E129" s="45"/>
      <c r="G129" s="46"/>
      <c r="H129" s="46"/>
      <c r="I129" s="46"/>
      <c r="J129" s="46"/>
      <c r="K129" s="46"/>
      <c r="L129" s="46"/>
      <c r="M129" s="46"/>
      <c r="N129" s="46"/>
      <c r="O129" s="46"/>
    </row>
    <row r="130" ht="15.75" customHeight="1">
      <c r="E130" s="45"/>
      <c r="G130" s="46"/>
      <c r="H130" s="46"/>
      <c r="I130" s="46"/>
      <c r="J130" s="46"/>
      <c r="K130" s="46"/>
      <c r="L130" s="46"/>
      <c r="M130" s="46"/>
      <c r="N130" s="46"/>
      <c r="O130" s="46"/>
    </row>
    <row r="131" ht="15.75" customHeight="1">
      <c r="E131" s="45"/>
      <c r="G131" s="46"/>
      <c r="H131" s="46"/>
      <c r="I131" s="46"/>
      <c r="J131" s="46"/>
      <c r="K131" s="46"/>
      <c r="L131" s="46"/>
      <c r="M131" s="46"/>
      <c r="N131" s="46"/>
      <c r="O131" s="46"/>
    </row>
    <row r="132" ht="15.75" customHeight="1">
      <c r="E132" s="45"/>
      <c r="G132" s="46"/>
      <c r="H132" s="46"/>
      <c r="I132" s="46"/>
      <c r="J132" s="46"/>
      <c r="K132" s="46"/>
      <c r="L132" s="46"/>
      <c r="M132" s="46"/>
      <c r="N132" s="46"/>
      <c r="O132" s="46"/>
    </row>
    <row r="133" ht="15.75" customHeight="1">
      <c r="E133" s="45"/>
      <c r="G133" s="46"/>
      <c r="H133" s="46"/>
      <c r="I133" s="46"/>
      <c r="J133" s="46"/>
      <c r="K133" s="46"/>
      <c r="L133" s="46"/>
      <c r="M133" s="46"/>
      <c r="N133" s="46"/>
      <c r="O133" s="46"/>
    </row>
    <row r="134" ht="15.75" customHeight="1">
      <c r="E134" s="45"/>
      <c r="G134" s="46"/>
      <c r="H134" s="46"/>
      <c r="I134" s="46"/>
      <c r="J134" s="46"/>
      <c r="K134" s="46"/>
      <c r="L134" s="46"/>
      <c r="M134" s="46"/>
      <c r="N134" s="46"/>
      <c r="O134" s="46"/>
    </row>
    <row r="135" ht="15.75" customHeight="1">
      <c r="E135" s="45"/>
      <c r="G135" s="46"/>
      <c r="H135" s="46"/>
      <c r="I135" s="46"/>
      <c r="J135" s="46"/>
      <c r="K135" s="46"/>
      <c r="L135" s="46"/>
      <c r="M135" s="46"/>
      <c r="N135" s="46"/>
      <c r="O135" s="46"/>
    </row>
    <row r="136" ht="15.75" customHeight="1">
      <c r="E136" s="45"/>
      <c r="G136" s="46"/>
      <c r="H136" s="46"/>
      <c r="I136" s="46"/>
      <c r="J136" s="46"/>
      <c r="K136" s="46"/>
      <c r="L136" s="46"/>
      <c r="M136" s="46"/>
      <c r="N136" s="46"/>
      <c r="O136" s="46"/>
    </row>
    <row r="137" ht="15.75" customHeight="1">
      <c r="E137" s="45"/>
      <c r="G137" s="46"/>
      <c r="H137" s="46"/>
      <c r="I137" s="46"/>
      <c r="J137" s="46"/>
      <c r="K137" s="46"/>
      <c r="L137" s="46"/>
      <c r="M137" s="46"/>
      <c r="N137" s="46"/>
      <c r="O137" s="46"/>
    </row>
    <row r="138" ht="15.75" customHeight="1">
      <c r="E138" s="45"/>
      <c r="G138" s="46"/>
      <c r="H138" s="46"/>
      <c r="I138" s="46"/>
      <c r="J138" s="46"/>
      <c r="K138" s="46"/>
      <c r="L138" s="46"/>
      <c r="M138" s="46"/>
      <c r="N138" s="46"/>
      <c r="O138" s="46"/>
    </row>
    <row r="139" ht="15.75" customHeight="1">
      <c r="E139" s="45"/>
      <c r="G139" s="46"/>
      <c r="H139" s="46"/>
      <c r="I139" s="46"/>
      <c r="J139" s="46"/>
      <c r="K139" s="46"/>
      <c r="L139" s="46"/>
      <c r="M139" s="46"/>
      <c r="N139" s="46"/>
      <c r="O139" s="46"/>
    </row>
    <row r="140" ht="15.75" customHeight="1">
      <c r="E140" s="45"/>
      <c r="G140" s="46"/>
      <c r="H140" s="46"/>
      <c r="I140" s="46"/>
      <c r="J140" s="46"/>
      <c r="K140" s="46"/>
      <c r="L140" s="46"/>
      <c r="M140" s="46"/>
      <c r="N140" s="46"/>
      <c r="O140" s="46"/>
    </row>
    <row r="141" ht="15.75" customHeight="1">
      <c r="E141" s="45"/>
      <c r="G141" s="46"/>
      <c r="H141" s="46"/>
      <c r="I141" s="46"/>
      <c r="J141" s="46"/>
      <c r="K141" s="46"/>
      <c r="L141" s="46"/>
      <c r="M141" s="46"/>
      <c r="N141" s="46"/>
      <c r="O141" s="46"/>
    </row>
    <row r="142" ht="15.75" customHeight="1">
      <c r="E142" s="45"/>
      <c r="G142" s="46"/>
      <c r="H142" s="46"/>
      <c r="I142" s="46"/>
      <c r="J142" s="46"/>
      <c r="K142" s="46"/>
      <c r="L142" s="46"/>
      <c r="M142" s="46"/>
      <c r="N142" s="46"/>
      <c r="O142" s="46"/>
    </row>
    <row r="143" ht="15.75" customHeight="1">
      <c r="E143" s="45"/>
      <c r="G143" s="46"/>
      <c r="H143" s="46"/>
      <c r="I143" s="46"/>
      <c r="J143" s="46"/>
      <c r="K143" s="46"/>
      <c r="L143" s="46"/>
      <c r="M143" s="46"/>
      <c r="N143" s="46"/>
      <c r="O143" s="46"/>
    </row>
    <row r="144" ht="15.75" customHeight="1">
      <c r="E144" s="45"/>
      <c r="G144" s="46"/>
      <c r="H144" s="46"/>
      <c r="I144" s="46"/>
      <c r="J144" s="46"/>
      <c r="K144" s="46"/>
      <c r="L144" s="46"/>
      <c r="M144" s="46"/>
      <c r="N144" s="46"/>
      <c r="O144" s="46"/>
    </row>
    <row r="145" ht="15.75" customHeight="1">
      <c r="E145" s="45"/>
      <c r="G145" s="46"/>
      <c r="H145" s="46"/>
      <c r="I145" s="46"/>
      <c r="J145" s="46"/>
      <c r="K145" s="46"/>
      <c r="L145" s="46"/>
      <c r="M145" s="46"/>
      <c r="N145" s="46"/>
      <c r="O145" s="46"/>
    </row>
    <row r="146" ht="15.75" customHeight="1">
      <c r="E146" s="45"/>
      <c r="G146" s="46"/>
      <c r="H146" s="46"/>
      <c r="I146" s="46"/>
      <c r="J146" s="46"/>
      <c r="K146" s="46"/>
      <c r="L146" s="46"/>
      <c r="M146" s="46"/>
      <c r="N146" s="46"/>
      <c r="O146" s="46"/>
    </row>
    <row r="147" ht="15.75" customHeight="1">
      <c r="E147" s="45"/>
      <c r="G147" s="46"/>
      <c r="H147" s="46"/>
      <c r="I147" s="46"/>
      <c r="J147" s="46"/>
      <c r="K147" s="46"/>
      <c r="L147" s="46"/>
      <c r="M147" s="46"/>
      <c r="N147" s="46"/>
      <c r="O147" s="46"/>
    </row>
    <row r="148" ht="15.75" customHeight="1">
      <c r="E148" s="45"/>
      <c r="G148" s="46"/>
      <c r="H148" s="46"/>
      <c r="I148" s="46"/>
      <c r="J148" s="46"/>
      <c r="K148" s="46"/>
      <c r="L148" s="46"/>
      <c r="M148" s="46"/>
      <c r="N148" s="46"/>
      <c r="O148" s="46"/>
    </row>
    <row r="149" ht="15.75" customHeight="1">
      <c r="E149" s="45"/>
      <c r="G149" s="46"/>
      <c r="H149" s="46"/>
      <c r="I149" s="46"/>
      <c r="J149" s="46"/>
      <c r="K149" s="46"/>
      <c r="L149" s="46"/>
      <c r="M149" s="46"/>
      <c r="N149" s="46"/>
      <c r="O149" s="46"/>
    </row>
    <row r="150" ht="15.75" customHeight="1">
      <c r="E150" s="45"/>
      <c r="G150" s="46"/>
      <c r="H150" s="46"/>
      <c r="I150" s="46"/>
      <c r="J150" s="46"/>
      <c r="K150" s="46"/>
      <c r="L150" s="46"/>
      <c r="M150" s="46"/>
      <c r="N150" s="46"/>
      <c r="O150" s="46"/>
    </row>
    <row r="151" ht="15.75" customHeight="1">
      <c r="E151" s="45"/>
      <c r="G151" s="46"/>
      <c r="H151" s="46"/>
      <c r="I151" s="46"/>
      <c r="J151" s="46"/>
      <c r="K151" s="46"/>
      <c r="L151" s="46"/>
      <c r="M151" s="46"/>
      <c r="N151" s="46"/>
      <c r="O151" s="46"/>
    </row>
    <row r="152" ht="15.75" customHeight="1">
      <c r="E152" s="45"/>
      <c r="G152" s="46"/>
      <c r="H152" s="46"/>
      <c r="I152" s="46"/>
      <c r="J152" s="46"/>
      <c r="K152" s="46"/>
      <c r="L152" s="46"/>
      <c r="M152" s="46"/>
      <c r="N152" s="46"/>
      <c r="O152" s="46"/>
    </row>
    <row r="153" ht="15.75" customHeight="1">
      <c r="E153" s="45"/>
      <c r="G153" s="46"/>
      <c r="H153" s="46"/>
      <c r="I153" s="46"/>
      <c r="J153" s="46"/>
      <c r="K153" s="46"/>
      <c r="L153" s="46"/>
      <c r="M153" s="46"/>
      <c r="N153" s="46"/>
      <c r="O153" s="46"/>
    </row>
    <row r="154" ht="15.75" customHeight="1">
      <c r="E154" s="45"/>
      <c r="G154" s="46"/>
      <c r="H154" s="46"/>
      <c r="I154" s="46"/>
      <c r="J154" s="46"/>
      <c r="K154" s="46"/>
      <c r="L154" s="46"/>
      <c r="M154" s="46"/>
      <c r="N154" s="46"/>
      <c r="O154" s="46"/>
    </row>
    <row r="155" ht="15.75" customHeight="1">
      <c r="E155" s="45"/>
      <c r="G155" s="46"/>
      <c r="H155" s="46"/>
      <c r="I155" s="46"/>
      <c r="J155" s="46"/>
      <c r="K155" s="46"/>
      <c r="L155" s="46"/>
      <c r="M155" s="46"/>
      <c r="N155" s="46"/>
      <c r="O155" s="46"/>
    </row>
    <row r="156" ht="15.75" customHeight="1">
      <c r="E156" s="45"/>
      <c r="G156" s="46"/>
      <c r="H156" s="46"/>
      <c r="I156" s="46"/>
      <c r="J156" s="46"/>
      <c r="K156" s="46"/>
      <c r="L156" s="46"/>
      <c r="M156" s="46"/>
      <c r="N156" s="46"/>
      <c r="O156" s="46"/>
    </row>
    <row r="157" ht="15.75" customHeight="1">
      <c r="E157" s="45"/>
      <c r="G157" s="46"/>
      <c r="H157" s="46"/>
      <c r="I157" s="46"/>
      <c r="J157" s="46"/>
      <c r="K157" s="46"/>
      <c r="L157" s="46"/>
      <c r="M157" s="46"/>
      <c r="N157" s="46"/>
      <c r="O157" s="46"/>
    </row>
    <row r="158" ht="15.75" customHeight="1">
      <c r="E158" s="45"/>
      <c r="G158" s="46"/>
      <c r="H158" s="46"/>
      <c r="I158" s="46"/>
      <c r="J158" s="46"/>
      <c r="K158" s="46"/>
      <c r="L158" s="46"/>
      <c r="M158" s="46"/>
      <c r="N158" s="46"/>
      <c r="O158" s="46"/>
    </row>
    <row r="159" ht="15.75" customHeight="1">
      <c r="E159" s="45"/>
      <c r="G159" s="46"/>
      <c r="H159" s="46"/>
      <c r="I159" s="46"/>
      <c r="J159" s="46"/>
      <c r="K159" s="46"/>
      <c r="L159" s="46"/>
      <c r="M159" s="46"/>
      <c r="N159" s="46"/>
      <c r="O159" s="46"/>
    </row>
    <row r="160" ht="15.75" customHeight="1">
      <c r="E160" s="45"/>
      <c r="G160" s="46"/>
      <c r="H160" s="46"/>
      <c r="I160" s="46"/>
      <c r="J160" s="46"/>
      <c r="K160" s="46"/>
      <c r="L160" s="46"/>
      <c r="M160" s="46"/>
      <c r="N160" s="46"/>
      <c r="O160" s="46"/>
    </row>
    <row r="161" ht="15.75" customHeight="1">
      <c r="E161" s="45"/>
      <c r="G161" s="46"/>
      <c r="H161" s="46"/>
      <c r="I161" s="46"/>
      <c r="J161" s="46"/>
      <c r="K161" s="46"/>
      <c r="L161" s="46"/>
      <c r="M161" s="46"/>
      <c r="N161" s="46"/>
      <c r="O161" s="46"/>
    </row>
    <row r="162" ht="15.75" customHeight="1">
      <c r="E162" s="45"/>
      <c r="G162" s="46"/>
      <c r="H162" s="46"/>
      <c r="I162" s="46"/>
      <c r="J162" s="46"/>
      <c r="K162" s="46"/>
      <c r="L162" s="46"/>
      <c r="M162" s="46"/>
      <c r="N162" s="46"/>
      <c r="O162" s="46"/>
    </row>
    <row r="163" ht="15.75" customHeight="1">
      <c r="E163" s="45"/>
      <c r="G163" s="46"/>
      <c r="H163" s="46"/>
      <c r="I163" s="46"/>
      <c r="J163" s="46"/>
      <c r="K163" s="46"/>
      <c r="L163" s="46"/>
      <c r="M163" s="46"/>
      <c r="N163" s="46"/>
      <c r="O163" s="46"/>
    </row>
    <row r="164" ht="15.75" customHeight="1">
      <c r="E164" s="45"/>
      <c r="G164" s="46"/>
      <c r="H164" s="46"/>
      <c r="I164" s="46"/>
      <c r="J164" s="46"/>
      <c r="K164" s="46"/>
      <c r="L164" s="46"/>
      <c r="M164" s="46"/>
      <c r="N164" s="46"/>
      <c r="O164" s="46"/>
    </row>
    <row r="165" ht="15.75" customHeight="1">
      <c r="E165" s="45"/>
      <c r="G165" s="46"/>
      <c r="H165" s="46"/>
      <c r="I165" s="46"/>
      <c r="J165" s="46"/>
      <c r="K165" s="46"/>
      <c r="L165" s="46"/>
      <c r="M165" s="46"/>
      <c r="N165" s="46"/>
      <c r="O165" s="46"/>
    </row>
    <row r="166" ht="15.75" customHeight="1">
      <c r="E166" s="45"/>
      <c r="G166" s="46"/>
      <c r="H166" s="46"/>
      <c r="I166" s="46"/>
      <c r="J166" s="46"/>
      <c r="K166" s="46"/>
      <c r="L166" s="46"/>
      <c r="M166" s="46"/>
      <c r="N166" s="46"/>
      <c r="O166" s="46"/>
    </row>
    <row r="167" ht="15.75" customHeight="1">
      <c r="E167" s="45"/>
      <c r="G167" s="46"/>
      <c r="H167" s="46"/>
      <c r="I167" s="46"/>
      <c r="J167" s="46"/>
      <c r="K167" s="46"/>
      <c r="L167" s="46"/>
      <c r="M167" s="46"/>
      <c r="N167" s="46"/>
      <c r="O167" s="46"/>
    </row>
    <row r="168" ht="15.75" customHeight="1">
      <c r="E168" s="45"/>
      <c r="G168" s="46"/>
      <c r="H168" s="46"/>
      <c r="I168" s="46"/>
      <c r="J168" s="46"/>
      <c r="K168" s="46"/>
      <c r="L168" s="46"/>
      <c r="M168" s="46"/>
      <c r="N168" s="46"/>
      <c r="O168" s="46"/>
    </row>
    <row r="169" ht="15.75" customHeight="1">
      <c r="E169" s="45"/>
      <c r="G169" s="46"/>
      <c r="H169" s="46"/>
      <c r="I169" s="46"/>
      <c r="J169" s="46"/>
      <c r="K169" s="46"/>
      <c r="L169" s="46"/>
      <c r="M169" s="46"/>
      <c r="N169" s="46"/>
      <c r="O169" s="46"/>
    </row>
    <row r="170" ht="15.75" customHeight="1">
      <c r="E170" s="45"/>
      <c r="G170" s="46"/>
      <c r="H170" s="46"/>
      <c r="I170" s="46"/>
      <c r="J170" s="46"/>
      <c r="K170" s="46"/>
      <c r="L170" s="46"/>
      <c r="M170" s="46"/>
      <c r="N170" s="46"/>
      <c r="O170" s="46"/>
    </row>
    <row r="171" ht="15.75" customHeight="1">
      <c r="E171" s="45"/>
      <c r="G171" s="46"/>
      <c r="H171" s="46"/>
      <c r="I171" s="46"/>
      <c r="J171" s="46"/>
      <c r="K171" s="46"/>
      <c r="L171" s="46"/>
      <c r="M171" s="46"/>
      <c r="N171" s="46"/>
      <c r="O171" s="46"/>
    </row>
    <row r="172" ht="15.75" customHeight="1">
      <c r="E172" s="45"/>
      <c r="G172" s="46"/>
      <c r="H172" s="46"/>
      <c r="I172" s="46"/>
      <c r="J172" s="46"/>
      <c r="K172" s="46"/>
      <c r="L172" s="46"/>
      <c r="M172" s="46"/>
      <c r="N172" s="46"/>
      <c r="O172" s="46"/>
    </row>
    <row r="173" ht="15.75" customHeight="1">
      <c r="E173" s="45"/>
      <c r="G173" s="46"/>
      <c r="H173" s="46"/>
      <c r="I173" s="46"/>
      <c r="J173" s="46"/>
      <c r="K173" s="46"/>
      <c r="L173" s="46"/>
      <c r="M173" s="46"/>
      <c r="N173" s="46"/>
      <c r="O173" s="46"/>
    </row>
    <row r="174" ht="15.75" customHeight="1">
      <c r="E174" s="45"/>
      <c r="G174" s="46"/>
      <c r="H174" s="46"/>
      <c r="I174" s="46"/>
      <c r="J174" s="46"/>
      <c r="K174" s="46"/>
      <c r="L174" s="46"/>
      <c r="M174" s="46"/>
      <c r="N174" s="46"/>
      <c r="O174" s="46"/>
    </row>
    <row r="175" ht="15.75" customHeight="1">
      <c r="E175" s="45"/>
      <c r="G175" s="46"/>
      <c r="H175" s="46"/>
      <c r="I175" s="46"/>
      <c r="J175" s="46"/>
      <c r="K175" s="46"/>
      <c r="L175" s="46"/>
      <c r="M175" s="46"/>
      <c r="N175" s="46"/>
      <c r="O175" s="46"/>
    </row>
    <row r="176" ht="15.75" customHeight="1">
      <c r="E176" s="45"/>
      <c r="G176" s="46"/>
      <c r="H176" s="46"/>
      <c r="I176" s="46"/>
      <c r="J176" s="46"/>
      <c r="K176" s="46"/>
      <c r="L176" s="46"/>
      <c r="M176" s="46"/>
      <c r="N176" s="46"/>
      <c r="O176" s="46"/>
    </row>
    <row r="177" ht="15.75" customHeight="1">
      <c r="E177" s="45"/>
      <c r="G177" s="46"/>
      <c r="H177" s="46"/>
      <c r="I177" s="46"/>
      <c r="J177" s="46"/>
      <c r="K177" s="46"/>
      <c r="L177" s="46"/>
      <c r="M177" s="46"/>
      <c r="N177" s="46"/>
      <c r="O177" s="46"/>
    </row>
    <row r="178" ht="15.75" customHeight="1">
      <c r="E178" s="45"/>
      <c r="G178" s="46"/>
      <c r="H178" s="46"/>
      <c r="I178" s="46"/>
      <c r="J178" s="46"/>
      <c r="K178" s="46"/>
      <c r="L178" s="46"/>
      <c r="M178" s="46"/>
      <c r="N178" s="46"/>
      <c r="O178" s="46"/>
    </row>
    <row r="179" ht="15.75" customHeight="1">
      <c r="E179" s="45"/>
      <c r="G179" s="46"/>
      <c r="H179" s="46"/>
      <c r="I179" s="46"/>
      <c r="J179" s="46"/>
      <c r="K179" s="46"/>
      <c r="L179" s="46"/>
      <c r="M179" s="46"/>
      <c r="N179" s="46"/>
      <c r="O179" s="46"/>
    </row>
    <row r="180" ht="15.75" customHeight="1">
      <c r="E180" s="45"/>
      <c r="G180" s="46"/>
      <c r="H180" s="46"/>
      <c r="I180" s="46"/>
      <c r="J180" s="46"/>
      <c r="K180" s="46"/>
      <c r="L180" s="46"/>
      <c r="M180" s="46"/>
      <c r="N180" s="46"/>
      <c r="O180" s="46"/>
    </row>
    <row r="181" ht="15.75" customHeight="1">
      <c r="E181" s="45"/>
      <c r="G181" s="46"/>
      <c r="H181" s="46"/>
      <c r="I181" s="46"/>
      <c r="J181" s="46"/>
      <c r="K181" s="46"/>
      <c r="L181" s="46"/>
      <c r="M181" s="46"/>
      <c r="N181" s="46"/>
      <c r="O181" s="46"/>
    </row>
    <row r="182" ht="15.75" customHeight="1">
      <c r="E182" s="45"/>
      <c r="G182" s="46"/>
      <c r="H182" s="46"/>
      <c r="I182" s="46"/>
      <c r="J182" s="46"/>
      <c r="K182" s="46"/>
      <c r="L182" s="46"/>
      <c r="M182" s="46"/>
      <c r="N182" s="46"/>
      <c r="O182" s="46"/>
    </row>
    <row r="183" ht="15.75" customHeight="1">
      <c r="E183" s="45"/>
      <c r="G183" s="46"/>
      <c r="H183" s="46"/>
      <c r="I183" s="46"/>
      <c r="J183" s="46"/>
      <c r="K183" s="46"/>
      <c r="L183" s="46"/>
      <c r="M183" s="46"/>
      <c r="N183" s="46"/>
      <c r="O183" s="46"/>
    </row>
    <row r="184" ht="15.75" customHeight="1">
      <c r="E184" s="45"/>
      <c r="G184" s="46"/>
      <c r="H184" s="46"/>
      <c r="I184" s="46"/>
      <c r="J184" s="46"/>
      <c r="K184" s="46"/>
      <c r="L184" s="46"/>
      <c r="M184" s="46"/>
      <c r="N184" s="46"/>
      <c r="O184" s="46"/>
    </row>
    <row r="185" ht="15.75" customHeight="1">
      <c r="E185" s="45"/>
      <c r="G185" s="46"/>
      <c r="H185" s="46"/>
      <c r="I185" s="46"/>
      <c r="J185" s="46"/>
      <c r="K185" s="46"/>
      <c r="L185" s="46"/>
      <c r="M185" s="46"/>
      <c r="N185" s="46"/>
      <c r="O185" s="46"/>
    </row>
    <row r="186" ht="15.75" customHeight="1">
      <c r="E186" s="45"/>
      <c r="G186" s="46"/>
      <c r="H186" s="46"/>
      <c r="I186" s="46"/>
      <c r="J186" s="46"/>
      <c r="K186" s="46"/>
      <c r="L186" s="46"/>
      <c r="M186" s="46"/>
      <c r="N186" s="46"/>
      <c r="O186" s="46"/>
    </row>
    <row r="187" ht="15.75" customHeight="1">
      <c r="E187" s="45"/>
      <c r="G187" s="46"/>
      <c r="H187" s="46"/>
      <c r="I187" s="46"/>
      <c r="J187" s="46"/>
      <c r="K187" s="46"/>
      <c r="L187" s="46"/>
      <c r="M187" s="46"/>
      <c r="N187" s="46"/>
      <c r="O187" s="46"/>
    </row>
    <row r="188" ht="15.75" customHeight="1">
      <c r="E188" s="45"/>
      <c r="G188" s="46"/>
      <c r="H188" s="46"/>
      <c r="I188" s="46"/>
      <c r="J188" s="46"/>
      <c r="K188" s="46"/>
      <c r="L188" s="46"/>
      <c r="M188" s="46"/>
      <c r="N188" s="46"/>
      <c r="O188" s="46"/>
    </row>
    <row r="189" ht="15.75" customHeight="1">
      <c r="E189" s="45"/>
      <c r="G189" s="46"/>
      <c r="H189" s="46"/>
      <c r="I189" s="46"/>
      <c r="J189" s="46"/>
      <c r="K189" s="46"/>
      <c r="L189" s="46"/>
      <c r="M189" s="46"/>
      <c r="N189" s="46"/>
      <c r="O189" s="46"/>
    </row>
    <row r="190" ht="15.75" customHeight="1">
      <c r="E190" s="45"/>
      <c r="G190" s="46"/>
      <c r="H190" s="46"/>
      <c r="I190" s="46"/>
      <c r="J190" s="46"/>
      <c r="K190" s="46"/>
      <c r="L190" s="46"/>
      <c r="M190" s="46"/>
      <c r="N190" s="46"/>
      <c r="O190" s="46"/>
    </row>
    <row r="191" ht="15.75" customHeight="1">
      <c r="E191" s="45"/>
      <c r="G191" s="46"/>
      <c r="H191" s="46"/>
      <c r="I191" s="46"/>
      <c r="J191" s="46"/>
      <c r="K191" s="46"/>
      <c r="L191" s="46"/>
      <c r="M191" s="46"/>
      <c r="N191" s="46"/>
      <c r="O191" s="46"/>
    </row>
    <row r="192" ht="15.75" customHeight="1">
      <c r="E192" s="45"/>
      <c r="G192" s="46"/>
      <c r="H192" s="46"/>
      <c r="I192" s="46"/>
      <c r="J192" s="46"/>
      <c r="K192" s="46"/>
      <c r="L192" s="46"/>
      <c r="M192" s="46"/>
      <c r="N192" s="46"/>
      <c r="O192" s="46"/>
    </row>
    <row r="193" ht="15.75" customHeight="1">
      <c r="E193" s="45"/>
      <c r="G193" s="46"/>
      <c r="H193" s="46"/>
      <c r="I193" s="46"/>
      <c r="J193" s="46"/>
      <c r="K193" s="46"/>
      <c r="L193" s="46"/>
      <c r="M193" s="46"/>
      <c r="N193" s="46"/>
      <c r="O193" s="46"/>
    </row>
    <row r="194" ht="15.75" customHeight="1">
      <c r="E194" s="45"/>
      <c r="G194" s="46"/>
      <c r="H194" s="46"/>
      <c r="I194" s="46"/>
      <c r="J194" s="46"/>
      <c r="K194" s="46"/>
      <c r="L194" s="46"/>
      <c r="M194" s="46"/>
      <c r="N194" s="46"/>
      <c r="O194" s="46"/>
    </row>
    <row r="195" ht="15.75" customHeight="1">
      <c r="E195" s="45"/>
      <c r="G195" s="46"/>
      <c r="H195" s="46"/>
      <c r="I195" s="46"/>
      <c r="J195" s="46"/>
      <c r="K195" s="46"/>
      <c r="L195" s="46"/>
      <c r="M195" s="46"/>
      <c r="N195" s="46"/>
      <c r="O195" s="46"/>
    </row>
    <row r="196" ht="15.75" customHeight="1">
      <c r="E196" s="45"/>
      <c r="G196" s="46"/>
      <c r="H196" s="46"/>
      <c r="I196" s="46"/>
      <c r="J196" s="46"/>
      <c r="K196" s="46"/>
      <c r="L196" s="46"/>
      <c r="M196" s="46"/>
      <c r="N196" s="46"/>
      <c r="O196" s="46"/>
    </row>
    <row r="197" ht="15.75" customHeight="1">
      <c r="E197" s="45"/>
      <c r="G197" s="46"/>
      <c r="H197" s="46"/>
      <c r="I197" s="46"/>
      <c r="J197" s="46"/>
      <c r="K197" s="46"/>
      <c r="L197" s="46"/>
      <c r="M197" s="46"/>
      <c r="N197" s="46"/>
      <c r="O197" s="46"/>
    </row>
    <row r="198" ht="15.75" customHeight="1">
      <c r="E198" s="45"/>
      <c r="G198" s="46"/>
      <c r="H198" s="46"/>
      <c r="I198" s="46"/>
      <c r="J198" s="46"/>
      <c r="K198" s="46"/>
      <c r="L198" s="46"/>
      <c r="M198" s="46"/>
      <c r="N198" s="46"/>
      <c r="O198" s="46"/>
    </row>
    <row r="199" ht="15.75" customHeight="1">
      <c r="E199" s="45"/>
      <c r="G199" s="46"/>
      <c r="H199" s="46"/>
      <c r="I199" s="46"/>
      <c r="J199" s="46"/>
      <c r="K199" s="46"/>
      <c r="L199" s="46"/>
      <c r="M199" s="46"/>
      <c r="N199" s="46"/>
      <c r="O199" s="46"/>
    </row>
    <row r="200" ht="15.75" customHeight="1">
      <c r="E200" s="45"/>
      <c r="G200" s="46"/>
      <c r="H200" s="46"/>
      <c r="I200" s="46"/>
      <c r="J200" s="46"/>
      <c r="K200" s="46"/>
      <c r="L200" s="46"/>
      <c r="M200" s="46"/>
      <c r="N200" s="46"/>
      <c r="O200" s="46"/>
    </row>
    <row r="201" ht="15.75" customHeight="1">
      <c r="E201" s="45"/>
      <c r="G201" s="46"/>
      <c r="H201" s="46"/>
      <c r="I201" s="46"/>
      <c r="J201" s="46"/>
      <c r="K201" s="46"/>
      <c r="L201" s="46"/>
      <c r="M201" s="46"/>
      <c r="N201" s="46"/>
      <c r="O201" s="46"/>
    </row>
    <row r="202" ht="15.75" customHeight="1">
      <c r="E202" s="45"/>
      <c r="G202" s="46"/>
      <c r="H202" s="46"/>
      <c r="I202" s="46"/>
      <c r="J202" s="46"/>
      <c r="K202" s="46"/>
      <c r="L202" s="46"/>
      <c r="M202" s="46"/>
      <c r="N202" s="46"/>
      <c r="O202" s="46"/>
    </row>
    <row r="203" ht="15.75" customHeight="1">
      <c r="E203" s="45"/>
      <c r="G203" s="46"/>
      <c r="H203" s="46"/>
      <c r="I203" s="46"/>
      <c r="J203" s="46"/>
      <c r="K203" s="46"/>
      <c r="L203" s="46"/>
      <c r="M203" s="46"/>
      <c r="N203" s="46"/>
      <c r="O203" s="46"/>
    </row>
    <row r="204" ht="15.75" customHeight="1">
      <c r="E204" s="45"/>
      <c r="G204" s="46"/>
      <c r="H204" s="46"/>
      <c r="I204" s="46"/>
      <c r="J204" s="46"/>
      <c r="K204" s="46"/>
      <c r="L204" s="46"/>
      <c r="M204" s="46"/>
      <c r="N204" s="46"/>
      <c r="O204" s="46"/>
    </row>
    <row r="205" ht="15.75" customHeight="1">
      <c r="E205" s="45"/>
      <c r="G205" s="46"/>
      <c r="H205" s="46"/>
      <c r="I205" s="46"/>
      <c r="J205" s="46"/>
      <c r="K205" s="46"/>
      <c r="L205" s="46"/>
      <c r="M205" s="46"/>
      <c r="N205" s="46"/>
      <c r="O205" s="46"/>
    </row>
    <row r="206" ht="15.75" customHeight="1">
      <c r="E206" s="45"/>
      <c r="G206" s="46"/>
      <c r="H206" s="46"/>
      <c r="I206" s="46"/>
      <c r="J206" s="46"/>
      <c r="K206" s="46"/>
      <c r="L206" s="46"/>
      <c r="M206" s="46"/>
      <c r="N206" s="46"/>
      <c r="O206" s="46"/>
    </row>
    <row r="207" ht="15.75" customHeight="1">
      <c r="E207" s="45"/>
      <c r="G207" s="46"/>
      <c r="H207" s="46"/>
      <c r="I207" s="46"/>
      <c r="J207" s="46"/>
      <c r="K207" s="46"/>
      <c r="L207" s="46"/>
      <c r="M207" s="46"/>
      <c r="N207" s="46"/>
      <c r="O207" s="46"/>
    </row>
    <row r="208" ht="15.75" customHeight="1">
      <c r="E208" s="45"/>
      <c r="G208" s="46"/>
      <c r="H208" s="46"/>
      <c r="I208" s="46"/>
      <c r="J208" s="46"/>
      <c r="K208" s="46"/>
      <c r="L208" s="46"/>
      <c r="M208" s="46"/>
      <c r="N208" s="46"/>
      <c r="O208" s="46"/>
    </row>
    <row r="209" ht="15.75" customHeight="1">
      <c r="E209" s="45"/>
      <c r="G209" s="46"/>
      <c r="H209" s="46"/>
      <c r="I209" s="46"/>
      <c r="J209" s="46"/>
      <c r="K209" s="46"/>
      <c r="L209" s="46"/>
      <c r="M209" s="46"/>
      <c r="N209" s="46"/>
      <c r="O209" s="46"/>
    </row>
    <row r="210" ht="15.75" customHeight="1">
      <c r="E210" s="45"/>
      <c r="G210" s="46"/>
      <c r="H210" s="46"/>
      <c r="I210" s="46"/>
      <c r="J210" s="46"/>
      <c r="K210" s="46"/>
      <c r="L210" s="46"/>
      <c r="M210" s="46"/>
      <c r="N210" s="46"/>
      <c r="O210" s="46"/>
    </row>
    <row r="211" ht="15.75" customHeight="1">
      <c r="E211" s="45"/>
      <c r="G211" s="46"/>
      <c r="H211" s="46"/>
      <c r="I211" s="46"/>
      <c r="J211" s="46"/>
      <c r="K211" s="46"/>
      <c r="L211" s="46"/>
      <c r="M211" s="46"/>
      <c r="N211" s="46"/>
      <c r="O211" s="46"/>
    </row>
    <row r="212" ht="15.75" customHeight="1">
      <c r="E212" s="45"/>
      <c r="G212" s="46"/>
      <c r="H212" s="46"/>
      <c r="I212" s="46"/>
      <c r="J212" s="46"/>
      <c r="K212" s="46"/>
      <c r="L212" s="46"/>
      <c r="M212" s="46"/>
      <c r="N212" s="46"/>
      <c r="O212" s="46"/>
    </row>
    <row r="213" ht="15.75" customHeight="1">
      <c r="E213" s="45"/>
      <c r="G213" s="46"/>
      <c r="H213" s="46"/>
      <c r="I213" s="46"/>
      <c r="J213" s="46"/>
      <c r="K213" s="46"/>
      <c r="L213" s="46"/>
      <c r="M213" s="46"/>
      <c r="N213" s="46"/>
      <c r="O213" s="46"/>
    </row>
    <row r="214" ht="15.75" customHeight="1">
      <c r="E214" s="45"/>
      <c r="G214" s="46"/>
      <c r="H214" s="46"/>
      <c r="I214" s="46"/>
      <c r="J214" s="46"/>
      <c r="K214" s="46"/>
      <c r="L214" s="46"/>
      <c r="M214" s="46"/>
      <c r="N214" s="46"/>
      <c r="O214" s="46"/>
    </row>
    <row r="215" ht="15.75" customHeight="1">
      <c r="E215" s="45"/>
      <c r="G215" s="46"/>
      <c r="H215" s="46"/>
      <c r="I215" s="46"/>
      <c r="J215" s="46"/>
      <c r="K215" s="46"/>
      <c r="L215" s="46"/>
      <c r="M215" s="46"/>
      <c r="N215" s="46"/>
      <c r="O215" s="46"/>
    </row>
    <row r="216" ht="15.75" customHeight="1">
      <c r="E216" s="45"/>
      <c r="G216" s="46"/>
      <c r="H216" s="46"/>
      <c r="I216" s="46"/>
      <c r="J216" s="46"/>
      <c r="K216" s="46"/>
      <c r="L216" s="46"/>
      <c r="M216" s="46"/>
      <c r="N216" s="46"/>
      <c r="O216" s="46"/>
    </row>
    <row r="217" ht="15.75" customHeight="1">
      <c r="E217" s="45"/>
      <c r="G217" s="46"/>
      <c r="H217" s="46"/>
      <c r="I217" s="46"/>
      <c r="J217" s="46"/>
      <c r="K217" s="46"/>
      <c r="L217" s="46"/>
      <c r="M217" s="46"/>
      <c r="N217" s="46"/>
      <c r="O217" s="46"/>
    </row>
    <row r="218" ht="15.75" customHeight="1">
      <c r="E218" s="45"/>
      <c r="G218" s="46"/>
      <c r="H218" s="46"/>
      <c r="I218" s="46"/>
      <c r="J218" s="46"/>
      <c r="K218" s="46"/>
      <c r="L218" s="46"/>
      <c r="M218" s="46"/>
      <c r="N218" s="46"/>
      <c r="O218" s="46"/>
    </row>
    <row r="219" ht="15.75" customHeight="1">
      <c r="E219" s="45"/>
      <c r="G219" s="46"/>
      <c r="H219" s="46"/>
      <c r="I219" s="46"/>
      <c r="J219" s="46"/>
      <c r="K219" s="46"/>
      <c r="L219" s="46"/>
      <c r="M219" s="46"/>
      <c r="N219" s="46"/>
      <c r="O219" s="46"/>
    </row>
    <row r="220" ht="15.75" customHeight="1">
      <c r="E220" s="45"/>
      <c r="G220" s="46"/>
      <c r="H220" s="46"/>
      <c r="I220" s="46"/>
      <c r="J220" s="46"/>
      <c r="K220" s="46"/>
      <c r="L220" s="46"/>
      <c r="M220" s="46"/>
      <c r="N220" s="46"/>
      <c r="O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G4"/>
    <mergeCell ref="H2:K2"/>
    <mergeCell ref="H3:I3"/>
    <mergeCell ref="J3:K3"/>
    <mergeCell ref="L2:N3"/>
    <mergeCell ref="O2:O4"/>
    <mergeCell ref="B1:O1"/>
    <mergeCell ref="A2:A4"/>
    <mergeCell ref="B2:B4"/>
    <mergeCell ref="C2:C4"/>
    <mergeCell ref="D2:D4"/>
    <mergeCell ref="E2:E4"/>
    <mergeCell ref="F2:F4"/>
  </mergeCells>
  <conditionalFormatting sqref="G1:G1000">
    <cfRule type="containsText" dxfId="0" priority="1" operator="containsText" text="High">
      <formula>NOT(ISERROR(SEARCH(("High"),(G1))))</formula>
    </cfRule>
  </conditionalFormatting>
  <conditionalFormatting sqref="G1:G1000">
    <cfRule type="containsText" dxfId="0" priority="2" operator="containsText" text="Medium">
      <formula>NOT(ISERROR(SEARCH(("Medium"),(G1))))</formula>
    </cfRule>
  </conditionalFormatting>
  <conditionalFormatting sqref="G1:G1000">
    <cfRule type="containsText" dxfId="0" priority="3" operator="containsText" text="Low">
      <formula>NOT(ISERROR(SEARCH(("Low"),(G1))))</formula>
    </cfRule>
  </conditionalFormatting>
  <conditionalFormatting sqref="I1:I2 I5:I1000 K5:N12">
    <cfRule type="containsText" dxfId="0" priority="4" operator="containsText" text="OK">
      <formula>NOT(ISERROR(SEARCH(("OK"),(I1))))</formula>
    </cfRule>
  </conditionalFormatting>
  <conditionalFormatting sqref="I1:I2 I5:I1000 K5:N12">
    <cfRule type="containsText" dxfId="1" priority="5" operator="containsText" text="NA">
      <formula>NOT(ISERROR(SEARCH(("NA"),(I1))))</formula>
    </cfRule>
  </conditionalFormatting>
  <dataValidations>
    <dataValidation type="list" allowBlank="1" sqref="H5:H12 J5:J12">
      <formula1>"x,●"</formula1>
    </dataValidation>
    <dataValidation type="list" allowBlank="1" sqref="I5:I12 K5:N12">
      <formula1>"OK,NG,NA"</formula1>
    </dataValidation>
    <dataValidation type="list" allowBlank="1" showErrorMessage="1" sqref="G5:G12">
      <formula1>"High,Medium,Low"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3.5"/>
    <col customWidth="1" min="2" max="2" width="23.25"/>
    <col customWidth="1" min="3" max="3" width="39.13"/>
    <col customWidth="1" min="4" max="4" width="41.25"/>
    <col customWidth="1" min="5" max="5" width="44.0"/>
    <col customWidth="1" min="6" max="6" width="49.25"/>
    <col customWidth="1" min="12" max="14" width="14.5"/>
  </cols>
  <sheetData>
    <row r="1" ht="15.75" customHeight="1">
      <c r="A1" s="23" t="s">
        <v>22</v>
      </c>
      <c r="B1" s="24" t="s">
        <v>75</v>
      </c>
      <c r="C1" s="16"/>
      <c r="D1" s="16"/>
      <c r="E1" s="16"/>
      <c r="F1" s="16"/>
      <c r="G1" s="16"/>
      <c r="H1" s="16"/>
      <c r="I1" s="16"/>
      <c r="J1" s="16"/>
      <c r="K1" s="16"/>
      <c r="L1" s="16"/>
      <c r="M1" s="16"/>
      <c r="N1" s="16"/>
      <c r="O1" s="17"/>
    </row>
    <row r="2" ht="15.75" customHeight="1">
      <c r="A2" s="25" t="s">
        <v>24</v>
      </c>
      <c r="B2" s="26" t="s">
        <v>25</v>
      </c>
      <c r="C2" s="26" t="s">
        <v>26</v>
      </c>
      <c r="D2" s="26" t="s">
        <v>76</v>
      </c>
      <c r="E2" s="26" t="s">
        <v>28</v>
      </c>
      <c r="F2" s="26" t="s">
        <v>29</v>
      </c>
      <c r="G2" s="27" t="s">
        <v>30</v>
      </c>
      <c r="H2" s="28" t="s">
        <v>31</v>
      </c>
      <c r="I2" s="5"/>
      <c r="J2" s="5"/>
      <c r="K2" s="6"/>
      <c r="L2" s="29" t="s">
        <v>32</v>
      </c>
      <c r="N2" s="30"/>
      <c r="O2" s="31" t="s">
        <v>33</v>
      </c>
    </row>
    <row r="3" ht="15.75" customHeight="1">
      <c r="A3" s="32"/>
      <c r="B3" s="30"/>
      <c r="C3" s="30"/>
      <c r="D3" s="30"/>
      <c r="E3" s="30"/>
      <c r="F3" s="30"/>
      <c r="G3" s="30"/>
      <c r="H3" s="28" t="s">
        <v>34</v>
      </c>
      <c r="I3" s="5"/>
      <c r="J3" s="33" t="s">
        <v>35</v>
      </c>
      <c r="K3" s="17"/>
      <c r="L3" s="5"/>
      <c r="M3" s="5"/>
      <c r="N3" s="6"/>
      <c r="O3" s="30"/>
    </row>
    <row r="4" ht="15.75" customHeight="1">
      <c r="A4" s="34"/>
      <c r="B4" s="6"/>
      <c r="C4" s="6"/>
      <c r="D4" s="6"/>
      <c r="E4" s="6"/>
      <c r="F4" s="6"/>
      <c r="G4" s="6"/>
      <c r="H4" s="35" t="s">
        <v>36</v>
      </c>
      <c r="I4" s="35" t="s">
        <v>77</v>
      </c>
      <c r="J4" s="35" t="s">
        <v>36</v>
      </c>
      <c r="K4" s="35" t="s">
        <v>77</v>
      </c>
      <c r="L4" s="36" t="s">
        <v>38</v>
      </c>
      <c r="M4" s="37" t="s">
        <v>39</v>
      </c>
      <c r="N4" s="37" t="s">
        <v>40</v>
      </c>
      <c r="O4" s="6"/>
    </row>
    <row r="5" ht="15.75" customHeight="1">
      <c r="A5" s="47" t="s">
        <v>78</v>
      </c>
      <c r="B5" s="16"/>
      <c r="C5" s="16"/>
      <c r="D5" s="16"/>
      <c r="E5" s="16"/>
      <c r="F5" s="16"/>
      <c r="G5" s="16"/>
      <c r="H5" s="16"/>
      <c r="I5" s="16"/>
      <c r="J5" s="16"/>
      <c r="K5" s="16"/>
      <c r="L5" s="16"/>
      <c r="M5" s="16"/>
      <c r="N5" s="16"/>
      <c r="O5" s="17"/>
    </row>
    <row r="6" ht="15.75" customHeight="1">
      <c r="A6" s="38" t="str">
        <f t="shared" ref="A6:A12" si="1">IF(F6&lt;&gt;"",""&amp;TEXT($B$1,"##")&amp;"_"&amp;(ROW()-5)-COUNTBLANK(F$6:F6),"")</f>
        <v>FT_1</v>
      </c>
      <c r="B6" s="39" t="s">
        <v>79</v>
      </c>
      <c r="C6" s="39" t="s">
        <v>80</v>
      </c>
      <c r="D6" s="39"/>
      <c r="E6" s="39" t="s">
        <v>81</v>
      </c>
      <c r="F6" s="48" t="s">
        <v>82</v>
      </c>
      <c r="G6" s="40" t="s">
        <v>45</v>
      </c>
      <c r="H6" s="41" t="s">
        <v>46</v>
      </c>
      <c r="I6" s="42"/>
      <c r="J6" s="41" t="s">
        <v>46</v>
      </c>
      <c r="K6" s="42"/>
      <c r="L6" s="42"/>
      <c r="M6" s="42"/>
      <c r="N6" s="43"/>
      <c r="O6" s="43"/>
    </row>
    <row r="7" ht="15.75" customHeight="1">
      <c r="A7" s="38" t="str">
        <f t="shared" si="1"/>
        <v>FT_2</v>
      </c>
      <c r="B7" s="39" t="s">
        <v>83</v>
      </c>
      <c r="C7" s="39" t="s">
        <v>84</v>
      </c>
      <c r="D7" s="39" t="s">
        <v>85</v>
      </c>
      <c r="E7" s="39" t="s">
        <v>86</v>
      </c>
      <c r="F7" s="39" t="s">
        <v>87</v>
      </c>
      <c r="G7" s="40" t="s">
        <v>45</v>
      </c>
      <c r="H7" s="41" t="s">
        <v>46</v>
      </c>
      <c r="I7" s="42"/>
      <c r="J7" s="41" t="s">
        <v>46</v>
      </c>
      <c r="K7" s="42"/>
      <c r="L7" s="42"/>
      <c r="M7" s="42"/>
      <c r="N7" s="43"/>
      <c r="O7" s="43"/>
    </row>
    <row r="8" ht="15.75" customHeight="1">
      <c r="A8" s="38" t="str">
        <f t="shared" si="1"/>
        <v>FT_3</v>
      </c>
      <c r="B8" s="39"/>
      <c r="C8" s="39" t="s">
        <v>88</v>
      </c>
      <c r="D8" s="39" t="s">
        <v>85</v>
      </c>
      <c r="E8" s="39" t="s">
        <v>89</v>
      </c>
      <c r="F8" s="39" t="s">
        <v>87</v>
      </c>
      <c r="G8" s="40" t="s">
        <v>45</v>
      </c>
      <c r="H8" s="41" t="s">
        <v>46</v>
      </c>
      <c r="I8" s="42"/>
      <c r="J8" s="41" t="s">
        <v>46</v>
      </c>
      <c r="K8" s="42"/>
      <c r="L8" s="42"/>
      <c r="M8" s="42"/>
      <c r="N8" s="43"/>
      <c r="O8" s="43"/>
    </row>
    <row r="9" ht="15.75" customHeight="1">
      <c r="A9" s="38" t="str">
        <f t="shared" si="1"/>
        <v>FT_4</v>
      </c>
      <c r="B9" s="39" t="s">
        <v>90</v>
      </c>
      <c r="C9" s="39" t="s">
        <v>91</v>
      </c>
      <c r="D9" s="49"/>
      <c r="E9" s="39" t="s">
        <v>92</v>
      </c>
      <c r="F9" s="39" t="s">
        <v>93</v>
      </c>
      <c r="G9" s="40" t="s">
        <v>45</v>
      </c>
      <c r="H9" s="41" t="s">
        <v>46</v>
      </c>
      <c r="I9" s="42"/>
      <c r="J9" s="41" t="s">
        <v>46</v>
      </c>
      <c r="K9" s="42"/>
      <c r="L9" s="42"/>
      <c r="M9" s="42"/>
      <c r="N9" s="43"/>
      <c r="O9" s="43"/>
    </row>
    <row r="10" ht="15.75" customHeight="1">
      <c r="A10" s="38" t="str">
        <f t="shared" si="1"/>
        <v>FT_5</v>
      </c>
      <c r="B10" s="39"/>
      <c r="C10" s="39" t="s">
        <v>94</v>
      </c>
      <c r="D10" s="49"/>
      <c r="E10" s="39" t="s">
        <v>95</v>
      </c>
      <c r="F10" s="39" t="s">
        <v>93</v>
      </c>
      <c r="G10" s="40" t="s">
        <v>45</v>
      </c>
      <c r="H10" s="41" t="s">
        <v>46</v>
      </c>
      <c r="I10" s="42"/>
      <c r="J10" s="41" t="s">
        <v>46</v>
      </c>
      <c r="K10" s="42"/>
      <c r="L10" s="42"/>
      <c r="M10" s="42"/>
      <c r="N10" s="43"/>
      <c r="O10" s="43"/>
    </row>
    <row r="11" ht="15.75" customHeight="1">
      <c r="A11" s="38" t="str">
        <f t="shared" si="1"/>
        <v>FT_6</v>
      </c>
      <c r="B11" s="39"/>
      <c r="C11" s="39" t="s">
        <v>96</v>
      </c>
      <c r="D11" s="39"/>
      <c r="E11" s="39" t="s">
        <v>97</v>
      </c>
      <c r="F11" s="39" t="s">
        <v>98</v>
      </c>
      <c r="G11" s="40" t="s">
        <v>45</v>
      </c>
      <c r="H11" s="41" t="s">
        <v>46</v>
      </c>
      <c r="I11" s="42"/>
      <c r="J11" s="41" t="s">
        <v>46</v>
      </c>
      <c r="K11" s="42"/>
      <c r="L11" s="42"/>
      <c r="M11" s="42"/>
      <c r="N11" s="43"/>
      <c r="O11" s="43"/>
    </row>
    <row r="12" ht="15.75" customHeight="1">
      <c r="A12" s="38" t="str">
        <f t="shared" si="1"/>
        <v>FT_7</v>
      </c>
      <c r="B12" s="39"/>
      <c r="C12" s="39" t="s">
        <v>99</v>
      </c>
      <c r="D12" s="49"/>
      <c r="E12" s="39" t="s">
        <v>100</v>
      </c>
      <c r="F12" s="39" t="s">
        <v>101</v>
      </c>
      <c r="G12" s="40" t="s">
        <v>102</v>
      </c>
      <c r="H12" s="41" t="s">
        <v>46</v>
      </c>
      <c r="I12" s="42"/>
      <c r="J12" s="41" t="s">
        <v>46</v>
      </c>
      <c r="K12" s="42"/>
      <c r="L12" s="42"/>
      <c r="M12" s="42"/>
      <c r="N12" s="43"/>
      <c r="O12" s="43"/>
    </row>
    <row r="13" ht="15.75" customHeight="1">
      <c r="A13" s="47" t="s">
        <v>103</v>
      </c>
      <c r="B13" s="16"/>
      <c r="C13" s="16"/>
      <c r="D13" s="16"/>
      <c r="E13" s="16"/>
      <c r="F13" s="16"/>
      <c r="G13" s="16"/>
      <c r="H13" s="16"/>
      <c r="I13" s="16"/>
      <c r="J13" s="16"/>
      <c r="K13" s="16"/>
      <c r="L13" s="16"/>
      <c r="M13" s="16"/>
      <c r="N13" s="16"/>
      <c r="O13" s="17"/>
    </row>
    <row r="14" ht="15.75" customHeight="1">
      <c r="A14" s="38" t="str">
        <f t="shared" ref="A14:A65" si="2">IF(F14&lt;&gt;"",""&amp;TEXT($B$1,"##")&amp;"_"&amp;(ROW()-5)-COUNTBLANK(F$6:F14),"")</f>
        <v>FT_8</v>
      </c>
      <c r="B14" s="39" t="s">
        <v>79</v>
      </c>
      <c r="C14" s="39" t="s">
        <v>104</v>
      </c>
      <c r="D14" s="49" t="s">
        <v>105</v>
      </c>
      <c r="E14" s="39" t="s">
        <v>106</v>
      </c>
      <c r="F14" s="48" t="s">
        <v>107</v>
      </c>
      <c r="G14" s="40" t="s">
        <v>45</v>
      </c>
      <c r="H14" s="41" t="s">
        <v>46</v>
      </c>
      <c r="I14" s="42"/>
      <c r="J14" s="41" t="s">
        <v>46</v>
      </c>
      <c r="K14" s="42"/>
      <c r="L14" s="42"/>
      <c r="M14" s="42"/>
      <c r="N14" s="43"/>
      <c r="O14" s="43"/>
    </row>
    <row r="15" ht="15.75" customHeight="1">
      <c r="A15" s="38" t="str">
        <f t="shared" si="2"/>
        <v>FT_9</v>
      </c>
      <c r="B15" s="39"/>
      <c r="C15" s="39"/>
      <c r="D15" s="49" t="s">
        <v>108</v>
      </c>
      <c r="E15" s="39" t="s">
        <v>106</v>
      </c>
      <c r="F15" s="48" t="s">
        <v>109</v>
      </c>
      <c r="G15" s="40" t="s">
        <v>45</v>
      </c>
      <c r="H15" s="41" t="s">
        <v>46</v>
      </c>
      <c r="I15" s="42"/>
      <c r="J15" s="41" t="s">
        <v>46</v>
      </c>
      <c r="K15" s="42"/>
      <c r="L15" s="42"/>
      <c r="M15" s="42"/>
      <c r="N15" s="43"/>
      <c r="O15" s="43"/>
    </row>
    <row r="16" ht="15.75" customHeight="1">
      <c r="A16" s="38" t="str">
        <f t="shared" si="2"/>
        <v>FT_10</v>
      </c>
      <c r="B16" s="39"/>
      <c r="C16" s="39"/>
      <c r="D16" s="49" t="s">
        <v>110</v>
      </c>
      <c r="E16" s="39" t="s">
        <v>106</v>
      </c>
      <c r="F16" s="48" t="s">
        <v>111</v>
      </c>
      <c r="G16" s="40" t="s">
        <v>45</v>
      </c>
      <c r="H16" s="41" t="s">
        <v>46</v>
      </c>
      <c r="I16" s="42"/>
      <c r="J16" s="41" t="s">
        <v>46</v>
      </c>
      <c r="K16" s="42"/>
      <c r="L16" s="42"/>
      <c r="M16" s="42"/>
      <c r="N16" s="43"/>
      <c r="O16" s="43"/>
    </row>
    <row r="17" ht="15.75" customHeight="1">
      <c r="A17" s="38" t="str">
        <f t="shared" si="2"/>
        <v>FT_11</v>
      </c>
      <c r="B17" s="39"/>
      <c r="C17" s="39" t="s">
        <v>112</v>
      </c>
      <c r="D17" s="39" t="s">
        <v>113</v>
      </c>
      <c r="E17" s="39" t="s">
        <v>114</v>
      </c>
      <c r="F17" s="39" t="s">
        <v>115</v>
      </c>
      <c r="G17" s="40" t="s">
        <v>45</v>
      </c>
      <c r="H17" s="41" t="s">
        <v>46</v>
      </c>
      <c r="I17" s="42"/>
      <c r="J17" s="41" t="s">
        <v>46</v>
      </c>
      <c r="K17" s="42"/>
      <c r="L17" s="42"/>
      <c r="M17" s="42"/>
      <c r="N17" s="43"/>
      <c r="O17" s="43"/>
    </row>
    <row r="18" ht="15.75" customHeight="1">
      <c r="A18" s="38" t="str">
        <f t="shared" si="2"/>
        <v>FT_12</v>
      </c>
      <c r="B18" s="39"/>
      <c r="C18" s="39" t="s">
        <v>116</v>
      </c>
      <c r="D18" s="39"/>
      <c r="E18" s="39" t="s">
        <v>117</v>
      </c>
      <c r="F18" s="39" t="s">
        <v>118</v>
      </c>
      <c r="G18" s="40" t="s">
        <v>45</v>
      </c>
      <c r="H18" s="41" t="s">
        <v>46</v>
      </c>
      <c r="I18" s="42"/>
      <c r="J18" s="41" t="s">
        <v>46</v>
      </c>
      <c r="K18" s="42"/>
      <c r="L18" s="42"/>
      <c r="M18" s="42"/>
      <c r="N18" s="43"/>
      <c r="O18" s="43"/>
    </row>
    <row r="19" ht="15.75" customHeight="1">
      <c r="A19" s="38" t="str">
        <f t="shared" si="2"/>
        <v>FT_13</v>
      </c>
      <c r="B19" s="39"/>
      <c r="C19" s="39" t="s">
        <v>119</v>
      </c>
      <c r="D19" s="39"/>
      <c r="E19" s="39" t="s">
        <v>120</v>
      </c>
      <c r="F19" s="39" t="s">
        <v>121</v>
      </c>
      <c r="G19" s="40" t="s">
        <v>45</v>
      </c>
      <c r="H19" s="41" t="s">
        <v>46</v>
      </c>
      <c r="I19" s="42"/>
      <c r="J19" s="41" t="s">
        <v>46</v>
      </c>
      <c r="K19" s="42"/>
      <c r="L19" s="42"/>
      <c r="M19" s="42"/>
      <c r="N19" s="43"/>
      <c r="O19" s="43"/>
    </row>
    <row r="20" ht="15.75" customHeight="1">
      <c r="A20" s="38" t="str">
        <f t="shared" si="2"/>
        <v>FT_14</v>
      </c>
      <c r="B20" s="39" t="s">
        <v>122</v>
      </c>
      <c r="C20" s="39" t="s">
        <v>123</v>
      </c>
      <c r="D20" s="39" t="s">
        <v>124</v>
      </c>
      <c r="E20" s="39" t="s">
        <v>125</v>
      </c>
      <c r="F20" s="39" t="s">
        <v>126</v>
      </c>
      <c r="G20" s="40" t="s">
        <v>45</v>
      </c>
      <c r="H20" s="41" t="s">
        <v>46</v>
      </c>
      <c r="I20" s="42"/>
      <c r="J20" s="41" t="s">
        <v>46</v>
      </c>
      <c r="K20" s="42"/>
      <c r="L20" s="42"/>
      <c r="M20" s="42"/>
      <c r="N20" s="43"/>
      <c r="O20" s="43"/>
    </row>
    <row r="21" ht="15.75" customHeight="1">
      <c r="A21" s="38" t="str">
        <f t="shared" si="2"/>
        <v>FT_15</v>
      </c>
      <c r="B21" s="39"/>
      <c r="C21" s="39"/>
      <c r="D21" s="39" t="s">
        <v>127</v>
      </c>
      <c r="E21" s="39" t="s">
        <v>125</v>
      </c>
      <c r="F21" s="39" t="s">
        <v>128</v>
      </c>
      <c r="G21" s="40" t="s">
        <v>102</v>
      </c>
      <c r="H21" s="41" t="s">
        <v>46</v>
      </c>
      <c r="I21" s="42"/>
      <c r="J21" s="41" t="s">
        <v>46</v>
      </c>
      <c r="K21" s="42"/>
      <c r="L21" s="42"/>
      <c r="M21" s="42"/>
      <c r="N21" s="43"/>
      <c r="O21" s="43"/>
    </row>
    <row r="22" ht="15.75" customHeight="1">
      <c r="A22" s="38" t="str">
        <f t="shared" si="2"/>
        <v>FT_16</v>
      </c>
      <c r="B22" s="39"/>
      <c r="C22" s="39" t="s">
        <v>129</v>
      </c>
      <c r="D22" s="39"/>
      <c r="E22" s="39" t="s">
        <v>130</v>
      </c>
      <c r="F22" s="39" t="s">
        <v>131</v>
      </c>
      <c r="G22" s="40" t="s">
        <v>45</v>
      </c>
      <c r="H22" s="41" t="s">
        <v>46</v>
      </c>
      <c r="I22" s="42"/>
      <c r="J22" s="41" t="s">
        <v>46</v>
      </c>
      <c r="K22" s="42"/>
      <c r="L22" s="42"/>
      <c r="M22" s="42"/>
      <c r="N22" s="43"/>
      <c r="O22" s="43"/>
    </row>
    <row r="23" ht="15.75" customHeight="1">
      <c r="A23" s="38" t="str">
        <f t="shared" si="2"/>
        <v>FT_17</v>
      </c>
      <c r="B23" s="39"/>
      <c r="C23" s="39"/>
      <c r="D23" s="39"/>
      <c r="E23" s="39" t="s">
        <v>132</v>
      </c>
      <c r="F23" s="39" t="s">
        <v>133</v>
      </c>
      <c r="G23" s="40" t="s">
        <v>45</v>
      </c>
      <c r="H23" s="41" t="s">
        <v>46</v>
      </c>
      <c r="I23" s="42"/>
      <c r="J23" s="41" t="s">
        <v>46</v>
      </c>
      <c r="K23" s="42"/>
      <c r="L23" s="42"/>
      <c r="M23" s="42"/>
      <c r="N23" s="43"/>
      <c r="O23" s="43"/>
    </row>
    <row r="24" ht="15.75" customHeight="1">
      <c r="A24" s="38" t="str">
        <f t="shared" si="2"/>
        <v>FT_18</v>
      </c>
      <c r="B24" s="39"/>
      <c r="C24" s="39"/>
      <c r="D24" s="39"/>
      <c r="E24" s="39" t="s">
        <v>134</v>
      </c>
      <c r="F24" s="39" t="s">
        <v>133</v>
      </c>
      <c r="G24" s="40" t="s">
        <v>102</v>
      </c>
      <c r="H24" s="41" t="s">
        <v>46</v>
      </c>
      <c r="I24" s="42"/>
      <c r="J24" s="41" t="s">
        <v>46</v>
      </c>
      <c r="K24" s="42"/>
      <c r="L24" s="42"/>
      <c r="M24" s="42"/>
      <c r="N24" s="43"/>
      <c r="O24" s="43"/>
    </row>
    <row r="25" ht="15.75" customHeight="1">
      <c r="A25" s="38" t="str">
        <f t="shared" si="2"/>
        <v>FT_19</v>
      </c>
      <c r="B25" s="39"/>
      <c r="C25" s="39" t="s">
        <v>135</v>
      </c>
      <c r="D25" s="39"/>
      <c r="E25" s="39" t="s">
        <v>136</v>
      </c>
      <c r="F25" s="39" t="s">
        <v>137</v>
      </c>
      <c r="G25" s="40" t="s">
        <v>45</v>
      </c>
      <c r="H25" s="41" t="s">
        <v>46</v>
      </c>
      <c r="I25" s="42"/>
      <c r="J25" s="41" t="s">
        <v>46</v>
      </c>
      <c r="K25" s="42"/>
      <c r="L25" s="42"/>
      <c r="M25" s="42"/>
      <c r="N25" s="43"/>
      <c r="O25" s="43"/>
    </row>
    <row r="26" ht="15.75" customHeight="1">
      <c r="A26" s="38" t="str">
        <f t="shared" si="2"/>
        <v>FT_20</v>
      </c>
      <c r="B26" s="39"/>
      <c r="C26" s="39"/>
      <c r="D26" s="39"/>
      <c r="E26" s="39" t="s">
        <v>138</v>
      </c>
      <c r="F26" s="39" t="s">
        <v>133</v>
      </c>
      <c r="G26" s="40" t="s">
        <v>102</v>
      </c>
      <c r="H26" s="41" t="s">
        <v>46</v>
      </c>
      <c r="I26" s="42"/>
      <c r="J26" s="41" t="s">
        <v>46</v>
      </c>
      <c r="K26" s="42"/>
      <c r="L26" s="42"/>
      <c r="M26" s="42"/>
      <c r="N26" s="43"/>
      <c r="O26" s="43"/>
    </row>
    <row r="27" ht="15.75" customHeight="1">
      <c r="A27" s="38" t="str">
        <f t="shared" si="2"/>
        <v>FT_21</v>
      </c>
      <c r="B27" s="39"/>
      <c r="C27" s="39"/>
      <c r="D27" s="39"/>
      <c r="E27" s="39" t="s">
        <v>139</v>
      </c>
      <c r="F27" s="39" t="s">
        <v>140</v>
      </c>
      <c r="G27" s="40" t="s">
        <v>45</v>
      </c>
      <c r="H27" s="41" t="s">
        <v>46</v>
      </c>
      <c r="I27" s="42"/>
      <c r="J27" s="41" t="s">
        <v>46</v>
      </c>
      <c r="K27" s="42"/>
      <c r="L27" s="42"/>
      <c r="M27" s="42"/>
      <c r="N27" s="43"/>
      <c r="O27" s="43"/>
    </row>
    <row r="28" ht="15.75" customHeight="1">
      <c r="A28" s="38" t="str">
        <f t="shared" si="2"/>
        <v>FT_22</v>
      </c>
      <c r="B28" s="39" t="s">
        <v>141</v>
      </c>
      <c r="C28" s="39" t="s">
        <v>142</v>
      </c>
      <c r="D28" s="39"/>
      <c r="E28" s="39" t="s">
        <v>143</v>
      </c>
      <c r="F28" s="39" t="s">
        <v>144</v>
      </c>
      <c r="G28" s="40" t="s">
        <v>45</v>
      </c>
      <c r="H28" s="41" t="s">
        <v>46</v>
      </c>
      <c r="I28" s="42"/>
      <c r="J28" s="41" t="s">
        <v>46</v>
      </c>
      <c r="K28" s="42"/>
      <c r="L28" s="42"/>
      <c r="M28" s="42"/>
      <c r="N28" s="43"/>
      <c r="O28" s="43"/>
    </row>
    <row r="29" ht="15.75" customHeight="1">
      <c r="A29" s="38" t="str">
        <f t="shared" si="2"/>
        <v>FT_23</v>
      </c>
      <c r="B29" s="39"/>
      <c r="C29" s="39"/>
      <c r="D29" s="39" t="s">
        <v>145</v>
      </c>
      <c r="E29" s="39" t="s">
        <v>146</v>
      </c>
      <c r="F29" s="39" t="s">
        <v>147</v>
      </c>
      <c r="G29" s="40" t="s">
        <v>45</v>
      </c>
      <c r="H29" s="41" t="s">
        <v>46</v>
      </c>
      <c r="I29" s="42"/>
      <c r="J29" s="41" t="s">
        <v>46</v>
      </c>
      <c r="K29" s="42"/>
      <c r="L29" s="42"/>
      <c r="M29" s="42"/>
      <c r="N29" s="43"/>
      <c r="O29" s="43"/>
    </row>
    <row r="30" ht="15.75" customHeight="1">
      <c r="A30" s="38" t="str">
        <f t="shared" si="2"/>
        <v>FT_24</v>
      </c>
      <c r="B30" s="49"/>
      <c r="C30" s="39" t="s">
        <v>148</v>
      </c>
      <c r="D30" s="49"/>
      <c r="E30" s="39" t="s">
        <v>149</v>
      </c>
      <c r="F30" s="39" t="s">
        <v>150</v>
      </c>
      <c r="G30" s="40" t="s">
        <v>45</v>
      </c>
      <c r="H30" s="41" t="s">
        <v>46</v>
      </c>
      <c r="I30" s="42"/>
      <c r="J30" s="41" t="s">
        <v>46</v>
      </c>
      <c r="K30" s="42"/>
      <c r="L30" s="50"/>
      <c r="M30" s="50"/>
      <c r="N30" s="51"/>
      <c r="O30" s="51"/>
    </row>
    <row r="31" ht="15.75" customHeight="1">
      <c r="A31" s="38" t="str">
        <f t="shared" si="2"/>
        <v>FT_25</v>
      </c>
      <c r="B31" s="49"/>
      <c r="C31" s="49"/>
      <c r="D31" s="49"/>
      <c r="E31" s="39" t="s">
        <v>151</v>
      </c>
      <c r="F31" s="39" t="s">
        <v>152</v>
      </c>
      <c r="G31" s="40" t="s">
        <v>45</v>
      </c>
      <c r="H31" s="41" t="s">
        <v>46</v>
      </c>
      <c r="I31" s="42"/>
      <c r="J31" s="41" t="s">
        <v>46</v>
      </c>
      <c r="K31" s="42"/>
      <c r="L31" s="50"/>
      <c r="M31" s="50"/>
      <c r="N31" s="51"/>
      <c r="O31" s="51"/>
    </row>
    <row r="32" ht="15.75" customHeight="1">
      <c r="A32" s="38" t="str">
        <f t="shared" si="2"/>
        <v>FT_26</v>
      </c>
      <c r="B32" s="49"/>
      <c r="C32" s="39" t="s">
        <v>153</v>
      </c>
      <c r="D32" s="49"/>
      <c r="E32" s="39" t="s">
        <v>154</v>
      </c>
      <c r="F32" s="39" t="s">
        <v>155</v>
      </c>
      <c r="G32" s="40" t="s">
        <v>45</v>
      </c>
      <c r="H32" s="41" t="s">
        <v>46</v>
      </c>
      <c r="I32" s="42"/>
      <c r="J32" s="41" t="s">
        <v>46</v>
      </c>
      <c r="K32" s="42"/>
      <c r="L32" s="50"/>
      <c r="M32" s="50"/>
      <c r="N32" s="51"/>
      <c r="O32" s="51"/>
    </row>
    <row r="33" ht="15.75" customHeight="1">
      <c r="A33" s="38" t="str">
        <f t="shared" si="2"/>
        <v>FT_27</v>
      </c>
      <c r="B33" s="49"/>
      <c r="C33" s="39" t="s">
        <v>156</v>
      </c>
      <c r="D33" s="49"/>
      <c r="E33" s="39" t="s">
        <v>157</v>
      </c>
      <c r="F33" s="39" t="s">
        <v>158</v>
      </c>
      <c r="G33" s="40" t="s">
        <v>45</v>
      </c>
      <c r="H33" s="41" t="s">
        <v>46</v>
      </c>
      <c r="I33" s="42"/>
      <c r="J33" s="41" t="s">
        <v>46</v>
      </c>
      <c r="K33" s="42"/>
      <c r="L33" s="50"/>
      <c r="M33" s="50"/>
      <c r="N33" s="51"/>
      <c r="O33" s="51"/>
    </row>
    <row r="34" ht="15.75" customHeight="1">
      <c r="A34" s="38" t="str">
        <f t="shared" si="2"/>
        <v>FT_28</v>
      </c>
      <c r="B34" s="49"/>
      <c r="C34" s="49"/>
      <c r="D34" s="49"/>
      <c r="E34" s="39" t="s">
        <v>159</v>
      </c>
      <c r="F34" s="39" t="s">
        <v>158</v>
      </c>
      <c r="G34" s="40" t="s">
        <v>102</v>
      </c>
      <c r="H34" s="41" t="s">
        <v>46</v>
      </c>
      <c r="I34" s="42"/>
      <c r="J34" s="41" t="s">
        <v>46</v>
      </c>
      <c r="K34" s="42"/>
      <c r="L34" s="50"/>
      <c r="M34" s="50"/>
      <c r="N34" s="51"/>
      <c r="O34" s="51"/>
    </row>
    <row r="35" ht="15.75" customHeight="1">
      <c r="A35" s="38" t="str">
        <f t="shared" si="2"/>
        <v>FT_29</v>
      </c>
      <c r="B35" s="49"/>
      <c r="C35" s="39" t="s">
        <v>160</v>
      </c>
      <c r="D35" s="49"/>
      <c r="E35" s="39" t="s">
        <v>161</v>
      </c>
      <c r="F35" s="39" t="s">
        <v>162</v>
      </c>
      <c r="G35" s="40" t="s">
        <v>45</v>
      </c>
      <c r="H35" s="41" t="s">
        <v>46</v>
      </c>
      <c r="I35" s="42"/>
      <c r="J35" s="41" t="s">
        <v>46</v>
      </c>
      <c r="K35" s="42"/>
      <c r="L35" s="50"/>
      <c r="M35" s="50"/>
      <c r="N35" s="51"/>
      <c r="O35" s="51"/>
    </row>
    <row r="36" ht="15.75" customHeight="1">
      <c r="A36" s="38" t="str">
        <f t="shared" si="2"/>
        <v>FT_30</v>
      </c>
      <c r="B36" s="39" t="s">
        <v>163</v>
      </c>
      <c r="C36" s="39" t="s">
        <v>164</v>
      </c>
      <c r="D36" s="49"/>
      <c r="E36" s="39" t="s">
        <v>165</v>
      </c>
      <c r="F36" s="39" t="s">
        <v>166</v>
      </c>
      <c r="G36" s="40" t="s">
        <v>45</v>
      </c>
      <c r="H36" s="41" t="s">
        <v>46</v>
      </c>
      <c r="I36" s="42"/>
      <c r="J36" s="41" t="s">
        <v>46</v>
      </c>
      <c r="K36" s="42"/>
      <c r="L36" s="50"/>
      <c r="M36" s="50"/>
      <c r="N36" s="51"/>
      <c r="O36" s="51"/>
    </row>
    <row r="37" ht="15.75" customHeight="1">
      <c r="A37" s="38" t="str">
        <f t="shared" si="2"/>
        <v>FT_31</v>
      </c>
      <c r="B37" s="49"/>
      <c r="C37" s="49"/>
      <c r="D37" s="49"/>
      <c r="E37" s="39" t="s">
        <v>167</v>
      </c>
      <c r="F37" s="39" t="s">
        <v>168</v>
      </c>
      <c r="G37" s="40" t="s">
        <v>45</v>
      </c>
      <c r="H37" s="41" t="s">
        <v>46</v>
      </c>
      <c r="I37" s="42"/>
      <c r="J37" s="41" t="s">
        <v>46</v>
      </c>
      <c r="K37" s="42"/>
      <c r="L37" s="50"/>
      <c r="M37" s="50"/>
      <c r="N37" s="51"/>
      <c r="O37" s="51"/>
    </row>
    <row r="38" ht="15.75" customHeight="1">
      <c r="A38" s="38" t="str">
        <f t="shared" si="2"/>
        <v>FT_32</v>
      </c>
      <c r="B38" s="49"/>
      <c r="C38" s="49"/>
      <c r="D38" s="49"/>
      <c r="E38" s="39" t="s">
        <v>169</v>
      </c>
      <c r="F38" s="39" t="s">
        <v>170</v>
      </c>
      <c r="G38" s="40" t="s">
        <v>45</v>
      </c>
      <c r="H38" s="41" t="s">
        <v>46</v>
      </c>
      <c r="I38" s="42"/>
      <c r="J38" s="41" t="s">
        <v>46</v>
      </c>
      <c r="K38" s="42"/>
      <c r="L38" s="50"/>
      <c r="M38" s="50"/>
      <c r="N38" s="51"/>
      <c r="O38" s="51"/>
    </row>
    <row r="39" ht="15.75" customHeight="1">
      <c r="A39" s="38" t="str">
        <f t="shared" si="2"/>
        <v>FT_33</v>
      </c>
      <c r="B39" s="49"/>
      <c r="C39" s="39" t="s">
        <v>171</v>
      </c>
      <c r="D39" s="49" t="s">
        <v>172</v>
      </c>
      <c r="E39" s="39" t="s">
        <v>173</v>
      </c>
      <c r="F39" s="39" t="s">
        <v>174</v>
      </c>
      <c r="G39" s="40" t="s">
        <v>45</v>
      </c>
      <c r="H39" s="41" t="s">
        <v>46</v>
      </c>
      <c r="I39" s="42"/>
      <c r="J39" s="41" t="s">
        <v>46</v>
      </c>
      <c r="K39" s="42"/>
      <c r="L39" s="50"/>
      <c r="M39" s="50"/>
      <c r="N39" s="51"/>
      <c r="O39" s="51"/>
    </row>
    <row r="40" ht="15.75" customHeight="1">
      <c r="A40" s="38" t="str">
        <f t="shared" si="2"/>
        <v>FT_34</v>
      </c>
      <c r="B40" s="49"/>
      <c r="C40" s="49"/>
      <c r="D40" s="49" t="s">
        <v>175</v>
      </c>
      <c r="E40" s="39" t="s">
        <v>176</v>
      </c>
      <c r="F40" s="39" t="s">
        <v>177</v>
      </c>
      <c r="G40" s="40" t="s">
        <v>45</v>
      </c>
      <c r="H40" s="41" t="s">
        <v>46</v>
      </c>
      <c r="I40" s="42"/>
      <c r="J40" s="41" t="s">
        <v>46</v>
      </c>
      <c r="K40" s="42"/>
      <c r="L40" s="50"/>
      <c r="M40" s="50"/>
      <c r="N40" s="51"/>
      <c r="O40" s="51"/>
    </row>
    <row r="41" ht="15.75" customHeight="1">
      <c r="A41" s="38" t="str">
        <f t="shared" si="2"/>
        <v>FT_35</v>
      </c>
      <c r="B41" s="49"/>
      <c r="C41" s="49"/>
      <c r="D41" s="49" t="s">
        <v>175</v>
      </c>
      <c r="E41" s="39" t="s">
        <v>178</v>
      </c>
      <c r="F41" s="39" t="s">
        <v>179</v>
      </c>
      <c r="G41" s="40" t="s">
        <v>45</v>
      </c>
      <c r="H41" s="41" t="s">
        <v>46</v>
      </c>
      <c r="I41" s="42"/>
      <c r="J41" s="41" t="s">
        <v>46</v>
      </c>
      <c r="K41" s="42"/>
      <c r="L41" s="50"/>
      <c r="M41" s="50"/>
      <c r="N41" s="51"/>
      <c r="O41" s="51"/>
    </row>
    <row r="42" ht="15.75" customHeight="1">
      <c r="A42" s="38" t="str">
        <f t="shared" si="2"/>
        <v>FT_36</v>
      </c>
      <c r="B42" s="49"/>
      <c r="C42" s="39" t="s">
        <v>180</v>
      </c>
      <c r="D42" s="49"/>
      <c r="E42" s="39" t="s">
        <v>181</v>
      </c>
      <c r="F42" s="39" t="s">
        <v>182</v>
      </c>
      <c r="G42" s="40" t="s">
        <v>102</v>
      </c>
      <c r="H42" s="41" t="s">
        <v>46</v>
      </c>
      <c r="I42" s="42"/>
      <c r="J42" s="41" t="s">
        <v>46</v>
      </c>
      <c r="K42" s="42"/>
      <c r="L42" s="50"/>
      <c r="M42" s="50"/>
      <c r="N42" s="51"/>
      <c r="O42" s="51"/>
    </row>
    <row r="43" ht="15.75" customHeight="1">
      <c r="A43" s="38" t="str">
        <f t="shared" si="2"/>
        <v>FT_37</v>
      </c>
      <c r="B43" s="49"/>
      <c r="C43" s="39" t="s">
        <v>183</v>
      </c>
      <c r="D43" s="49"/>
      <c r="E43" s="39" t="s">
        <v>184</v>
      </c>
      <c r="F43" s="39" t="s">
        <v>185</v>
      </c>
      <c r="G43" s="40" t="s">
        <v>102</v>
      </c>
      <c r="H43" s="41" t="s">
        <v>46</v>
      </c>
      <c r="I43" s="42"/>
      <c r="J43" s="41" t="s">
        <v>46</v>
      </c>
      <c r="K43" s="42"/>
      <c r="L43" s="50"/>
      <c r="M43" s="50"/>
      <c r="N43" s="51"/>
      <c r="O43" s="51"/>
    </row>
    <row r="44" ht="15.75" customHeight="1">
      <c r="A44" s="38" t="str">
        <f t="shared" si="2"/>
        <v>FT_38</v>
      </c>
      <c r="B44" s="39" t="s">
        <v>186</v>
      </c>
      <c r="C44" s="39" t="s">
        <v>187</v>
      </c>
      <c r="D44" s="49" t="s">
        <v>188</v>
      </c>
      <c r="E44" s="39" t="s">
        <v>189</v>
      </c>
      <c r="F44" s="39" t="s">
        <v>190</v>
      </c>
      <c r="G44" s="40" t="s">
        <v>45</v>
      </c>
      <c r="H44" s="41" t="s">
        <v>46</v>
      </c>
      <c r="I44" s="42"/>
      <c r="J44" s="41" t="s">
        <v>46</v>
      </c>
      <c r="K44" s="42"/>
      <c r="L44" s="42"/>
      <c r="M44" s="42"/>
      <c r="N44" s="43"/>
      <c r="O44" s="43"/>
    </row>
    <row r="45" ht="15.75" customHeight="1">
      <c r="A45" s="38" t="str">
        <f t="shared" si="2"/>
        <v>FT_39</v>
      </c>
      <c r="B45" s="39"/>
      <c r="C45" s="39"/>
      <c r="D45" s="49" t="s">
        <v>191</v>
      </c>
      <c r="E45" s="39" t="s">
        <v>189</v>
      </c>
      <c r="F45" s="39" t="s">
        <v>192</v>
      </c>
      <c r="G45" s="40" t="s">
        <v>45</v>
      </c>
      <c r="H45" s="41" t="s">
        <v>46</v>
      </c>
      <c r="I45" s="42"/>
      <c r="J45" s="41" t="s">
        <v>46</v>
      </c>
      <c r="K45" s="42"/>
      <c r="L45" s="42"/>
      <c r="M45" s="42"/>
      <c r="N45" s="43"/>
      <c r="O45" s="43"/>
    </row>
    <row r="46" ht="15.75" customHeight="1">
      <c r="A46" s="38" t="str">
        <f t="shared" si="2"/>
        <v>FT_40</v>
      </c>
      <c r="B46" s="39"/>
      <c r="C46" s="39" t="s">
        <v>193</v>
      </c>
      <c r="D46" s="49" t="s">
        <v>194</v>
      </c>
      <c r="E46" s="39" t="s">
        <v>195</v>
      </c>
      <c r="F46" s="39" t="s">
        <v>196</v>
      </c>
      <c r="G46" s="40" t="s">
        <v>45</v>
      </c>
      <c r="H46" s="41" t="s">
        <v>46</v>
      </c>
      <c r="I46" s="42"/>
      <c r="J46" s="41" t="s">
        <v>46</v>
      </c>
      <c r="K46" s="42"/>
      <c r="L46" s="42"/>
      <c r="M46" s="42"/>
      <c r="N46" s="43"/>
      <c r="O46" s="43"/>
    </row>
    <row r="47" ht="15.75" customHeight="1">
      <c r="A47" s="38" t="str">
        <f t="shared" si="2"/>
        <v>FT_41</v>
      </c>
      <c r="B47" s="39"/>
      <c r="C47" s="39" t="s">
        <v>197</v>
      </c>
      <c r="D47" s="49" t="s">
        <v>198</v>
      </c>
      <c r="E47" s="39" t="s">
        <v>189</v>
      </c>
      <c r="F47" s="39" t="s">
        <v>199</v>
      </c>
      <c r="G47" s="40" t="s">
        <v>45</v>
      </c>
      <c r="H47" s="41" t="s">
        <v>46</v>
      </c>
      <c r="I47" s="42"/>
      <c r="J47" s="41" t="s">
        <v>46</v>
      </c>
      <c r="K47" s="42"/>
      <c r="L47" s="42"/>
      <c r="M47" s="42"/>
      <c r="N47" s="43"/>
      <c r="O47" s="43"/>
    </row>
    <row r="48" ht="15.75" customHeight="1">
      <c r="A48" s="38" t="str">
        <f t="shared" si="2"/>
        <v>FT_42</v>
      </c>
      <c r="B48" s="39"/>
      <c r="C48" s="39" t="s">
        <v>200</v>
      </c>
      <c r="D48" s="49" t="s">
        <v>201</v>
      </c>
      <c r="E48" s="39" t="s">
        <v>202</v>
      </c>
      <c r="F48" s="39" t="s">
        <v>203</v>
      </c>
      <c r="G48" s="40" t="s">
        <v>45</v>
      </c>
      <c r="H48" s="41" t="s">
        <v>46</v>
      </c>
      <c r="I48" s="42"/>
      <c r="J48" s="41" t="s">
        <v>46</v>
      </c>
      <c r="K48" s="42"/>
      <c r="L48" s="42"/>
      <c r="M48" s="42"/>
      <c r="N48" s="43"/>
      <c r="O48" s="43"/>
    </row>
    <row r="49" ht="15.75" customHeight="1">
      <c r="A49" s="38" t="str">
        <f t="shared" si="2"/>
        <v>FT_43</v>
      </c>
      <c r="B49" s="39"/>
      <c r="C49" s="39" t="s">
        <v>204</v>
      </c>
      <c r="D49" s="49" t="s">
        <v>201</v>
      </c>
      <c r="E49" s="39" t="s">
        <v>205</v>
      </c>
      <c r="F49" s="39" t="s">
        <v>206</v>
      </c>
      <c r="G49" s="40" t="s">
        <v>45</v>
      </c>
      <c r="H49" s="41" t="s">
        <v>46</v>
      </c>
      <c r="I49" s="42"/>
      <c r="J49" s="41" t="s">
        <v>46</v>
      </c>
      <c r="K49" s="42"/>
      <c r="L49" s="42"/>
      <c r="M49" s="42"/>
      <c r="N49" s="43"/>
      <c r="O49" s="43"/>
    </row>
    <row r="50" ht="15.75" customHeight="1">
      <c r="A50" s="38" t="str">
        <f t="shared" si="2"/>
        <v>FT_44</v>
      </c>
      <c r="B50" s="39"/>
      <c r="C50" s="39" t="s">
        <v>207</v>
      </c>
      <c r="D50" s="49" t="s">
        <v>208</v>
      </c>
      <c r="E50" s="39" t="s">
        <v>209</v>
      </c>
      <c r="F50" s="39" t="s">
        <v>210</v>
      </c>
      <c r="G50" s="40" t="s">
        <v>45</v>
      </c>
      <c r="H50" s="41" t="s">
        <v>46</v>
      </c>
      <c r="I50" s="42"/>
      <c r="J50" s="41" t="s">
        <v>46</v>
      </c>
      <c r="K50" s="42"/>
      <c r="L50" s="42"/>
      <c r="M50" s="42"/>
      <c r="N50" s="43"/>
      <c r="O50" s="43"/>
    </row>
    <row r="51" ht="15.75" customHeight="1">
      <c r="A51" s="38" t="str">
        <f t="shared" si="2"/>
        <v>FT_45</v>
      </c>
      <c r="B51" s="39"/>
      <c r="C51" s="39"/>
      <c r="D51" s="49" t="s">
        <v>211</v>
      </c>
      <c r="E51" s="39" t="s">
        <v>212</v>
      </c>
      <c r="F51" s="39" t="s">
        <v>213</v>
      </c>
      <c r="G51" s="40" t="s">
        <v>45</v>
      </c>
      <c r="H51" s="41" t="s">
        <v>46</v>
      </c>
      <c r="I51" s="42"/>
      <c r="J51" s="41" t="s">
        <v>46</v>
      </c>
      <c r="K51" s="42"/>
      <c r="L51" s="42"/>
      <c r="M51" s="42"/>
      <c r="N51" s="43"/>
      <c r="O51" s="43"/>
    </row>
    <row r="52" ht="15.75" customHeight="1">
      <c r="A52" s="38" t="str">
        <f t="shared" si="2"/>
        <v>FT_46</v>
      </c>
      <c r="B52" s="39" t="s">
        <v>214</v>
      </c>
      <c r="C52" s="39" t="s">
        <v>215</v>
      </c>
      <c r="D52" s="49" t="s">
        <v>216</v>
      </c>
      <c r="E52" s="39" t="s">
        <v>217</v>
      </c>
      <c r="F52" s="39" t="s">
        <v>218</v>
      </c>
      <c r="G52" s="40" t="s">
        <v>45</v>
      </c>
      <c r="H52" s="41" t="s">
        <v>46</v>
      </c>
      <c r="I52" s="42"/>
      <c r="J52" s="41" t="s">
        <v>46</v>
      </c>
      <c r="K52" s="42"/>
      <c r="L52" s="42"/>
      <c r="M52" s="42"/>
      <c r="N52" s="43"/>
      <c r="O52" s="43"/>
    </row>
    <row r="53" ht="15.75" customHeight="1">
      <c r="A53" s="38" t="str">
        <f t="shared" si="2"/>
        <v>FT_47</v>
      </c>
      <c r="B53" s="39"/>
      <c r="C53" s="39"/>
      <c r="D53" s="49" t="s">
        <v>219</v>
      </c>
      <c r="E53" s="39" t="s">
        <v>220</v>
      </c>
      <c r="F53" s="39" t="s">
        <v>221</v>
      </c>
      <c r="G53" s="40" t="s">
        <v>45</v>
      </c>
      <c r="H53" s="41" t="s">
        <v>46</v>
      </c>
      <c r="I53" s="42"/>
      <c r="J53" s="41" t="s">
        <v>46</v>
      </c>
      <c r="K53" s="42"/>
      <c r="L53" s="42"/>
      <c r="M53" s="42"/>
      <c r="N53" s="43"/>
      <c r="O53" s="43"/>
    </row>
    <row r="54" ht="15.75" customHeight="1">
      <c r="A54" s="38" t="str">
        <f t="shared" si="2"/>
        <v>FT_48</v>
      </c>
      <c r="B54" s="39"/>
      <c r="C54" s="39"/>
      <c r="D54" s="49" t="s">
        <v>222</v>
      </c>
      <c r="E54" s="39" t="s">
        <v>223</v>
      </c>
      <c r="F54" s="39" t="s">
        <v>224</v>
      </c>
      <c r="G54" s="40" t="s">
        <v>45</v>
      </c>
      <c r="H54" s="41" t="s">
        <v>46</v>
      </c>
      <c r="I54" s="42"/>
      <c r="J54" s="41" t="s">
        <v>46</v>
      </c>
      <c r="K54" s="42"/>
      <c r="L54" s="42"/>
      <c r="M54" s="42"/>
      <c r="N54" s="43"/>
      <c r="O54" s="43"/>
    </row>
    <row r="55" ht="15.75" customHeight="1">
      <c r="A55" s="38" t="str">
        <f t="shared" si="2"/>
        <v>FT_49</v>
      </c>
      <c r="B55" s="39"/>
      <c r="C55" s="39"/>
      <c r="D55" s="49"/>
      <c r="E55" s="39" t="s">
        <v>225</v>
      </c>
      <c r="F55" s="39" t="s">
        <v>226</v>
      </c>
      <c r="G55" s="40" t="s">
        <v>102</v>
      </c>
      <c r="H55" s="41" t="s">
        <v>46</v>
      </c>
      <c r="I55" s="42"/>
      <c r="J55" s="41" t="s">
        <v>46</v>
      </c>
      <c r="K55" s="42"/>
      <c r="L55" s="42"/>
      <c r="M55" s="42"/>
      <c r="N55" s="43"/>
      <c r="O55" s="43"/>
    </row>
    <row r="56" ht="15.75" customHeight="1">
      <c r="A56" s="38" t="str">
        <f t="shared" si="2"/>
        <v>FT_50</v>
      </c>
      <c r="B56" s="39"/>
      <c r="C56" s="39" t="s">
        <v>227</v>
      </c>
      <c r="D56" s="49" t="s">
        <v>228</v>
      </c>
      <c r="E56" s="39" t="s">
        <v>229</v>
      </c>
      <c r="F56" s="39" t="s">
        <v>230</v>
      </c>
      <c r="G56" s="40" t="s">
        <v>45</v>
      </c>
      <c r="H56" s="41" t="s">
        <v>46</v>
      </c>
      <c r="I56" s="42"/>
      <c r="J56" s="41" t="s">
        <v>46</v>
      </c>
      <c r="K56" s="42"/>
      <c r="L56" s="42"/>
      <c r="M56" s="42"/>
      <c r="N56" s="43"/>
      <c r="O56" s="43"/>
    </row>
    <row r="57" ht="15.75" customHeight="1">
      <c r="A57" s="38" t="str">
        <f t="shared" si="2"/>
        <v>FT_51</v>
      </c>
      <c r="B57" s="39"/>
      <c r="C57" s="39"/>
      <c r="D57" s="49" t="s">
        <v>228</v>
      </c>
      <c r="E57" s="39" t="s">
        <v>231</v>
      </c>
      <c r="F57" s="39" t="s">
        <v>232</v>
      </c>
      <c r="G57" s="40" t="s">
        <v>45</v>
      </c>
      <c r="H57" s="41" t="s">
        <v>46</v>
      </c>
      <c r="I57" s="42"/>
      <c r="J57" s="41" t="s">
        <v>46</v>
      </c>
      <c r="K57" s="42"/>
      <c r="L57" s="42"/>
      <c r="M57" s="42"/>
      <c r="N57" s="43"/>
      <c r="O57" s="43"/>
    </row>
    <row r="58" ht="15.75" customHeight="1">
      <c r="A58" s="38" t="str">
        <f t="shared" si="2"/>
        <v>FT_52</v>
      </c>
      <c r="B58" s="39"/>
      <c r="C58" s="39"/>
      <c r="D58" s="49" t="s">
        <v>228</v>
      </c>
      <c r="E58" s="39" t="s">
        <v>233</v>
      </c>
      <c r="F58" s="39" t="s">
        <v>234</v>
      </c>
      <c r="G58" s="40" t="s">
        <v>45</v>
      </c>
      <c r="H58" s="41" t="s">
        <v>46</v>
      </c>
      <c r="I58" s="42"/>
      <c r="J58" s="41" t="s">
        <v>46</v>
      </c>
      <c r="K58" s="42"/>
      <c r="L58" s="42"/>
      <c r="M58" s="42"/>
      <c r="N58" s="43"/>
      <c r="O58" s="43"/>
    </row>
    <row r="59" ht="15.75" customHeight="1">
      <c r="A59" s="38" t="str">
        <f t="shared" si="2"/>
        <v>FT_53</v>
      </c>
      <c r="B59" s="39"/>
      <c r="C59" s="39"/>
      <c r="D59" s="49" t="s">
        <v>228</v>
      </c>
      <c r="E59" s="39" t="s">
        <v>235</v>
      </c>
      <c r="F59" s="39" t="s">
        <v>232</v>
      </c>
      <c r="G59" s="40" t="s">
        <v>45</v>
      </c>
      <c r="H59" s="41" t="s">
        <v>46</v>
      </c>
      <c r="I59" s="42"/>
      <c r="J59" s="41" t="s">
        <v>46</v>
      </c>
      <c r="K59" s="42"/>
      <c r="L59" s="42"/>
      <c r="M59" s="42"/>
      <c r="N59" s="43"/>
      <c r="O59" s="43"/>
    </row>
    <row r="60" ht="15.75" customHeight="1">
      <c r="A60" s="38" t="str">
        <f t="shared" si="2"/>
        <v>FT_54</v>
      </c>
      <c r="B60" s="39"/>
      <c r="C60" s="39"/>
      <c r="D60" s="49" t="s">
        <v>228</v>
      </c>
      <c r="E60" s="39" t="s">
        <v>236</v>
      </c>
      <c r="F60" s="39" t="s">
        <v>234</v>
      </c>
      <c r="G60" s="40" t="s">
        <v>45</v>
      </c>
      <c r="H60" s="41" t="s">
        <v>46</v>
      </c>
      <c r="I60" s="42"/>
      <c r="J60" s="41" t="s">
        <v>46</v>
      </c>
      <c r="K60" s="42"/>
      <c r="L60" s="42"/>
      <c r="M60" s="42"/>
      <c r="N60" s="43"/>
      <c r="O60" s="43"/>
    </row>
    <row r="61" ht="15.75" customHeight="1">
      <c r="A61" s="38" t="str">
        <f t="shared" si="2"/>
        <v>FT_55</v>
      </c>
      <c r="B61" s="39"/>
      <c r="C61" s="39" t="s">
        <v>237</v>
      </c>
      <c r="D61" s="49" t="s">
        <v>238</v>
      </c>
      <c r="E61" s="39" t="s">
        <v>239</v>
      </c>
      <c r="F61" s="39" t="s">
        <v>230</v>
      </c>
      <c r="G61" s="40" t="s">
        <v>45</v>
      </c>
      <c r="H61" s="41" t="s">
        <v>46</v>
      </c>
      <c r="I61" s="42"/>
      <c r="J61" s="41" t="s">
        <v>46</v>
      </c>
      <c r="K61" s="42"/>
      <c r="L61" s="42"/>
      <c r="M61" s="42"/>
      <c r="N61" s="43"/>
      <c r="O61" s="43"/>
    </row>
    <row r="62" ht="15.75" customHeight="1">
      <c r="A62" s="38" t="str">
        <f t="shared" si="2"/>
        <v>FT_56</v>
      </c>
      <c r="B62" s="39"/>
      <c r="C62" s="39"/>
      <c r="D62" s="49" t="s">
        <v>238</v>
      </c>
      <c r="E62" s="39" t="s">
        <v>240</v>
      </c>
      <c r="F62" s="39" t="s">
        <v>232</v>
      </c>
      <c r="G62" s="40" t="s">
        <v>45</v>
      </c>
      <c r="H62" s="41" t="s">
        <v>46</v>
      </c>
      <c r="I62" s="42"/>
      <c r="J62" s="41" t="s">
        <v>46</v>
      </c>
      <c r="K62" s="42"/>
      <c r="L62" s="42"/>
      <c r="M62" s="42"/>
      <c r="N62" s="43"/>
      <c r="O62" s="43"/>
    </row>
    <row r="63" ht="15.75" customHeight="1">
      <c r="A63" s="38" t="str">
        <f t="shared" si="2"/>
        <v>FT_57</v>
      </c>
      <c r="B63" s="39"/>
      <c r="C63" s="39"/>
      <c r="D63" s="49" t="s">
        <v>238</v>
      </c>
      <c r="E63" s="39" t="s">
        <v>241</v>
      </c>
      <c r="F63" s="39" t="s">
        <v>234</v>
      </c>
      <c r="G63" s="40" t="s">
        <v>45</v>
      </c>
      <c r="H63" s="41" t="s">
        <v>46</v>
      </c>
      <c r="I63" s="42"/>
      <c r="J63" s="41" t="s">
        <v>46</v>
      </c>
      <c r="K63" s="42"/>
      <c r="L63" s="42"/>
      <c r="M63" s="42"/>
      <c r="N63" s="43"/>
      <c r="O63" s="43"/>
    </row>
    <row r="64" ht="15.75" customHeight="1">
      <c r="A64" s="38" t="str">
        <f t="shared" si="2"/>
        <v>FT_58</v>
      </c>
      <c r="B64" s="39"/>
      <c r="C64" s="39"/>
      <c r="D64" s="49" t="s">
        <v>238</v>
      </c>
      <c r="E64" s="39" t="s">
        <v>242</v>
      </c>
      <c r="F64" s="39" t="s">
        <v>232</v>
      </c>
      <c r="G64" s="40" t="s">
        <v>45</v>
      </c>
      <c r="H64" s="41" t="s">
        <v>46</v>
      </c>
      <c r="I64" s="42"/>
      <c r="J64" s="41" t="s">
        <v>46</v>
      </c>
      <c r="K64" s="42"/>
      <c r="L64" s="42"/>
      <c r="M64" s="42"/>
      <c r="N64" s="43"/>
      <c r="O64" s="43"/>
    </row>
    <row r="65" ht="15.75" customHeight="1">
      <c r="A65" s="38" t="str">
        <f t="shared" si="2"/>
        <v>FT_59</v>
      </c>
      <c r="B65" s="39"/>
      <c r="C65" s="39"/>
      <c r="D65" s="49" t="s">
        <v>238</v>
      </c>
      <c r="E65" s="39" t="s">
        <v>243</v>
      </c>
      <c r="F65" s="39" t="s">
        <v>234</v>
      </c>
      <c r="G65" s="40" t="s">
        <v>45</v>
      </c>
      <c r="H65" s="41" t="s">
        <v>46</v>
      </c>
      <c r="I65" s="42"/>
      <c r="J65" s="41" t="s">
        <v>46</v>
      </c>
      <c r="K65" s="42"/>
      <c r="L65" s="42"/>
      <c r="M65" s="42"/>
      <c r="N65" s="43"/>
      <c r="O65" s="43"/>
    </row>
    <row r="66" ht="15.75" customHeight="1">
      <c r="A66" s="47" t="s">
        <v>244</v>
      </c>
      <c r="B66" s="16"/>
      <c r="C66" s="16"/>
      <c r="D66" s="16"/>
      <c r="E66" s="16"/>
      <c r="F66" s="16"/>
      <c r="G66" s="16"/>
      <c r="H66" s="16"/>
      <c r="I66" s="16"/>
      <c r="J66" s="16"/>
      <c r="K66" s="16"/>
      <c r="L66" s="16"/>
      <c r="M66" s="16"/>
      <c r="N66" s="16"/>
      <c r="O66" s="17"/>
    </row>
    <row r="67" ht="15.75" customHeight="1">
      <c r="A67" s="38" t="str">
        <f t="shared" ref="A67:A125" si="3">IF(F67&lt;&gt;"",""&amp;TEXT($B$1,"##")&amp;"_"&amp;(ROW()-5)-COUNTBLANK(F$6:F67),"")</f>
        <v>FT_60</v>
      </c>
      <c r="B67" s="39" t="s">
        <v>79</v>
      </c>
      <c r="C67" s="39" t="s">
        <v>245</v>
      </c>
      <c r="D67" s="39"/>
      <c r="E67" s="39" t="s">
        <v>117</v>
      </c>
      <c r="F67" s="48" t="s">
        <v>246</v>
      </c>
      <c r="G67" s="40" t="s">
        <v>45</v>
      </c>
      <c r="H67" s="41" t="s">
        <v>46</v>
      </c>
      <c r="I67" s="42"/>
      <c r="J67" s="41" t="s">
        <v>46</v>
      </c>
      <c r="K67" s="42"/>
      <c r="L67" s="42"/>
      <c r="M67" s="42"/>
      <c r="N67" s="43"/>
      <c r="O67" s="43"/>
    </row>
    <row r="68" ht="15.75" customHeight="1">
      <c r="A68" s="38" t="str">
        <f t="shared" si="3"/>
        <v>FT_61</v>
      </c>
      <c r="B68" s="39"/>
      <c r="C68" s="39" t="s">
        <v>247</v>
      </c>
      <c r="D68" s="39" t="s">
        <v>248</v>
      </c>
      <c r="E68" s="39" t="s">
        <v>249</v>
      </c>
      <c r="F68" s="39" t="s">
        <v>250</v>
      </c>
      <c r="G68" s="40" t="s">
        <v>45</v>
      </c>
      <c r="H68" s="41" t="s">
        <v>46</v>
      </c>
      <c r="I68" s="42"/>
      <c r="J68" s="41" t="s">
        <v>46</v>
      </c>
      <c r="K68" s="42"/>
      <c r="L68" s="42"/>
      <c r="M68" s="42"/>
      <c r="N68" s="43"/>
      <c r="O68" s="43"/>
    </row>
    <row r="69" ht="15.75" customHeight="1">
      <c r="A69" s="38" t="str">
        <f t="shared" si="3"/>
        <v>FT_62</v>
      </c>
      <c r="B69" s="39"/>
      <c r="C69" s="39"/>
      <c r="D69" s="39" t="s">
        <v>251</v>
      </c>
      <c r="E69" s="39" t="s">
        <v>252</v>
      </c>
      <c r="F69" s="39" t="s">
        <v>253</v>
      </c>
      <c r="G69" s="40" t="s">
        <v>45</v>
      </c>
      <c r="H69" s="41" t="s">
        <v>46</v>
      </c>
      <c r="I69" s="42"/>
      <c r="J69" s="41" t="s">
        <v>46</v>
      </c>
      <c r="K69" s="42"/>
      <c r="L69" s="42"/>
      <c r="M69" s="42"/>
      <c r="N69" s="43"/>
      <c r="O69" s="43"/>
    </row>
    <row r="70" ht="15.75" customHeight="1">
      <c r="A70" s="38" t="str">
        <f t="shared" si="3"/>
        <v>FT_63</v>
      </c>
      <c r="B70" s="39" t="s">
        <v>254</v>
      </c>
      <c r="C70" s="39" t="s">
        <v>255</v>
      </c>
      <c r="D70" s="39" t="s">
        <v>256</v>
      </c>
      <c r="E70" s="39" t="s">
        <v>257</v>
      </c>
      <c r="F70" s="39" t="s">
        <v>258</v>
      </c>
      <c r="G70" s="40" t="s">
        <v>45</v>
      </c>
      <c r="H70" s="41" t="s">
        <v>46</v>
      </c>
      <c r="I70" s="42"/>
      <c r="J70" s="41" t="s">
        <v>46</v>
      </c>
      <c r="K70" s="42"/>
      <c r="L70" s="42"/>
      <c r="M70" s="42"/>
      <c r="N70" s="43"/>
      <c r="O70" s="43"/>
    </row>
    <row r="71" ht="15.75" customHeight="1">
      <c r="A71" s="38" t="str">
        <f t="shared" si="3"/>
        <v>FT_64</v>
      </c>
      <c r="B71" s="39"/>
      <c r="C71" s="39"/>
      <c r="D71" s="39" t="s">
        <v>259</v>
      </c>
      <c r="E71" s="39" t="s">
        <v>257</v>
      </c>
      <c r="F71" s="39" t="s">
        <v>260</v>
      </c>
      <c r="G71" s="40" t="s">
        <v>45</v>
      </c>
      <c r="H71" s="41" t="s">
        <v>46</v>
      </c>
      <c r="I71" s="42"/>
      <c r="J71" s="41" t="s">
        <v>46</v>
      </c>
      <c r="K71" s="42"/>
      <c r="L71" s="42"/>
      <c r="M71" s="42"/>
      <c r="N71" s="43"/>
      <c r="O71" s="43"/>
    </row>
    <row r="72" ht="15.75" customHeight="1">
      <c r="A72" s="38" t="str">
        <f t="shared" si="3"/>
        <v>FT_65</v>
      </c>
      <c r="B72" s="39"/>
      <c r="C72" s="39" t="s">
        <v>261</v>
      </c>
      <c r="D72" s="39" t="s">
        <v>262</v>
      </c>
      <c r="E72" s="39" t="s">
        <v>263</v>
      </c>
      <c r="F72" s="39" t="s">
        <v>264</v>
      </c>
      <c r="G72" s="40" t="s">
        <v>45</v>
      </c>
      <c r="H72" s="41" t="s">
        <v>46</v>
      </c>
      <c r="I72" s="42"/>
      <c r="J72" s="41" t="s">
        <v>46</v>
      </c>
      <c r="K72" s="42"/>
      <c r="L72" s="42"/>
      <c r="M72" s="42"/>
      <c r="N72" s="43"/>
      <c r="O72" s="43"/>
    </row>
    <row r="73" ht="15.75" customHeight="1">
      <c r="A73" s="38" t="str">
        <f t="shared" si="3"/>
        <v>FT_66</v>
      </c>
      <c r="B73" s="39"/>
      <c r="C73" s="39"/>
      <c r="D73" s="39" t="s">
        <v>265</v>
      </c>
      <c r="E73" s="39" t="s">
        <v>263</v>
      </c>
      <c r="F73" s="39" t="s">
        <v>266</v>
      </c>
      <c r="G73" s="40" t="s">
        <v>45</v>
      </c>
      <c r="H73" s="41" t="s">
        <v>46</v>
      </c>
      <c r="I73" s="42"/>
      <c r="J73" s="41" t="s">
        <v>46</v>
      </c>
      <c r="K73" s="42"/>
      <c r="L73" s="42"/>
      <c r="M73" s="42"/>
      <c r="N73" s="43"/>
      <c r="O73" s="43"/>
    </row>
    <row r="74" ht="15.75" customHeight="1">
      <c r="A74" s="38" t="str">
        <f t="shared" si="3"/>
        <v>FT_67</v>
      </c>
      <c r="B74" s="39"/>
      <c r="C74" s="39" t="s">
        <v>267</v>
      </c>
      <c r="D74" s="39"/>
      <c r="E74" s="39" t="s">
        <v>268</v>
      </c>
      <c r="F74" s="39" t="s">
        <v>269</v>
      </c>
      <c r="G74" s="40" t="s">
        <v>45</v>
      </c>
      <c r="H74" s="41" t="s">
        <v>46</v>
      </c>
      <c r="I74" s="42"/>
      <c r="J74" s="41" t="s">
        <v>46</v>
      </c>
      <c r="K74" s="42"/>
      <c r="L74" s="42"/>
      <c r="M74" s="42"/>
      <c r="N74" s="43"/>
      <c r="O74" s="43"/>
    </row>
    <row r="75" ht="15.75" customHeight="1">
      <c r="A75" s="38" t="str">
        <f t="shared" si="3"/>
        <v>FT_68</v>
      </c>
      <c r="B75" s="39"/>
      <c r="C75" s="39" t="s">
        <v>270</v>
      </c>
      <c r="D75" s="39"/>
      <c r="E75" s="39" t="s">
        <v>271</v>
      </c>
      <c r="F75" s="39" t="s">
        <v>272</v>
      </c>
      <c r="G75" s="40" t="s">
        <v>45</v>
      </c>
      <c r="H75" s="41" t="s">
        <v>46</v>
      </c>
      <c r="I75" s="42"/>
      <c r="J75" s="41" t="s">
        <v>46</v>
      </c>
      <c r="K75" s="42"/>
      <c r="L75" s="42"/>
      <c r="M75" s="42"/>
      <c r="N75" s="43"/>
      <c r="O75" s="43"/>
    </row>
    <row r="76" ht="15.75" customHeight="1">
      <c r="A76" s="38" t="str">
        <f t="shared" si="3"/>
        <v>FT_69</v>
      </c>
      <c r="B76" s="39"/>
      <c r="C76" s="39" t="s">
        <v>273</v>
      </c>
      <c r="D76" s="39" t="s">
        <v>274</v>
      </c>
      <c r="E76" s="39" t="s">
        <v>275</v>
      </c>
      <c r="F76" s="39" t="s">
        <v>276</v>
      </c>
      <c r="G76" s="40" t="s">
        <v>45</v>
      </c>
      <c r="H76" s="41" t="s">
        <v>46</v>
      </c>
      <c r="I76" s="42"/>
      <c r="J76" s="41" t="s">
        <v>46</v>
      </c>
      <c r="K76" s="42"/>
      <c r="L76" s="42"/>
      <c r="M76" s="42"/>
      <c r="N76" s="43"/>
      <c r="O76" s="43"/>
    </row>
    <row r="77" ht="15.75" customHeight="1">
      <c r="A77" s="38" t="str">
        <f t="shared" si="3"/>
        <v>FT_70</v>
      </c>
      <c r="B77" s="39"/>
      <c r="C77" s="39"/>
      <c r="D77" s="39" t="s">
        <v>277</v>
      </c>
      <c r="E77" s="39" t="s">
        <v>275</v>
      </c>
      <c r="F77" s="39" t="s">
        <v>278</v>
      </c>
      <c r="G77" s="40" t="s">
        <v>45</v>
      </c>
      <c r="H77" s="41" t="s">
        <v>46</v>
      </c>
      <c r="I77" s="42"/>
      <c r="J77" s="41" t="s">
        <v>46</v>
      </c>
      <c r="K77" s="42"/>
      <c r="L77" s="42"/>
      <c r="M77" s="42"/>
      <c r="N77" s="43"/>
      <c r="O77" s="43"/>
    </row>
    <row r="78" ht="15.75" customHeight="1">
      <c r="A78" s="38" t="str">
        <f t="shared" si="3"/>
        <v>FT_71</v>
      </c>
      <c r="B78" s="39"/>
      <c r="C78" s="39" t="s">
        <v>279</v>
      </c>
      <c r="D78" s="39" t="s">
        <v>280</v>
      </c>
      <c r="E78" s="39" t="s">
        <v>281</v>
      </c>
      <c r="F78" s="39" t="s">
        <v>282</v>
      </c>
      <c r="G78" s="40" t="s">
        <v>45</v>
      </c>
      <c r="H78" s="41" t="s">
        <v>46</v>
      </c>
      <c r="I78" s="42"/>
      <c r="J78" s="41" t="s">
        <v>46</v>
      </c>
      <c r="K78" s="42"/>
      <c r="L78" s="42"/>
      <c r="M78" s="42"/>
      <c r="N78" s="43"/>
      <c r="O78" s="43"/>
    </row>
    <row r="79" ht="15.75" customHeight="1">
      <c r="A79" s="38" t="str">
        <f t="shared" si="3"/>
        <v>FT_72</v>
      </c>
      <c r="B79" s="39"/>
      <c r="C79" s="39"/>
      <c r="D79" s="39" t="s">
        <v>283</v>
      </c>
      <c r="E79" s="39" t="s">
        <v>284</v>
      </c>
      <c r="F79" s="39" t="s">
        <v>285</v>
      </c>
      <c r="G79" s="40" t="s">
        <v>45</v>
      </c>
      <c r="H79" s="41" t="s">
        <v>46</v>
      </c>
      <c r="I79" s="42"/>
      <c r="J79" s="41" t="s">
        <v>46</v>
      </c>
      <c r="K79" s="42"/>
      <c r="L79" s="42"/>
      <c r="M79" s="42"/>
      <c r="N79" s="43"/>
      <c r="O79" s="43"/>
    </row>
    <row r="80" ht="15.75" customHeight="1">
      <c r="A80" s="38" t="str">
        <f t="shared" si="3"/>
        <v>FT_73</v>
      </c>
      <c r="B80" s="39"/>
      <c r="C80" s="39" t="s">
        <v>286</v>
      </c>
      <c r="D80" s="39" t="s">
        <v>287</v>
      </c>
      <c r="E80" s="39" t="s">
        <v>288</v>
      </c>
      <c r="F80" s="39" t="s">
        <v>289</v>
      </c>
      <c r="G80" s="40" t="s">
        <v>45</v>
      </c>
      <c r="H80" s="41" t="s">
        <v>46</v>
      </c>
      <c r="I80" s="42"/>
      <c r="J80" s="41" t="s">
        <v>46</v>
      </c>
      <c r="K80" s="42"/>
      <c r="L80" s="42"/>
      <c r="M80" s="42"/>
      <c r="N80" s="43"/>
      <c r="O80" s="43"/>
    </row>
    <row r="81" ht="15.75" customHeight="1">
      <c r="A81" s="38" t="str">
        <f t="shared" si="3"/>
        <v>FT_74</v>
      </c>
      <c r="B81" s="39"/>
      <c r="C81" s="39" t="s">
        <v>290</v>
      </c>
      <c r="D81" s="39" t="s">
        <v>291</v>
      </c>
      <c r="E81" s="39" t="s">
        <v>292</v>
      </c>
      <c r="F81" s="39" t="s">
        <v>293</v>
      </c>
      <c r="G81" s="40" t="s">
        <v>45</v>
      </c>
      <c r="H81" s="41" t="s">
        <v>46</v>
      </c>
      <c r="I81" s="42"/>
      <c r="J81" s="41" t="s">
        <v>46</v>
      </c>
      <c r="K81" s="42"/>
      <c r="L81" s="42"/>
      <c r="M81" s="42"/>
      <c r="N81" s="43"/>
      <c r="O81" s="43"/>
    </row>
    <row r="82" ht="15.75" customHeight="1">
      <c r="A82" s="38" t="str">
        <f t="shared" si="3"/>
        <v>FT_75</v>
      </c>
      <c r="B82" s="39"/>
      <c r="C82" s="39" t="s">
        <v>294</v>
      </c>
      <c r="D82" s="39" t="s">
        <v>291</v>
      </c>
      <c r="E82" s="39" t="s">
        <v>295</v>
      </c>
      <c r="F82" s="39" t="s">
        <v>296</v>
      </c>
      <c r="G82" s="40" t="s">
        <v>45</v>
      </c>
      <c r="H82" s="41" t="s">
        <v>46</v>
      </c>
      <c r="I82" s="42"/>
      <c r="J82" s="41" t="s">
        <v>46</v>
      </c>
      <c r="K82" s="42"/>
      <c r="L82" s="42"/>
      <c r="M82" s="42"/>
      <c r="N82" s="43"/>
      <c r="O82" s="43"/>
    </row>
    <row r="83" ht="15.75" customHeight="1">
      <c r="A83" s="38" t="str">
        <f t="shared" si="3"/>
        <v>FT_76</v>
      </c>
      <c r="B83" s="39"/>
      <c r="C83" s="39" t="s">
        <v>297</v>
      </c>
      <c r="D83" s="39" t="s">
        <v>287</v>
      </c>
      <c r="E83" s="39" t="s">
        <v>298</v>
      </c>
      <c r="F83" s="39" t="s">
        <v>299</v>
      </c>
      <c r="G83" s="40" t="s">
        <v>45</v>
      </c>
      <c r="H83" s="41" t="s">
        <v>46</v>
      </c>
      <c r="I83" s="42"/>
      <c r="J83" s="41" t="s">
        <v>46</v>
      </c>
      <c r="K83" s="42"/>
      <c r="L83" s="42"/>
      <c r="M83" s="42"/>
      <c r="N83" s="43"/>
      <c r="O83" s="43"/>
    </row>
    <row r="84" ht="15.75" customHeight="1">
      <c r="A84" s="38" t="str">
        <f t="shared" si="3"/>
        <v>FT_77</v>
      </c>
      <c r="B84" s="39"/>
      <c r="C84" s="39" t="s">
        <v>300</v>
      </c>
      <c r="D84" s="39" t="s">
        <v>301</v>
      </c>
      <c r="E84" s="39" t="s">
        <v>302</v>
      </c>
      <c r="F84" s="39" t="s">
        <v>303</v>
      </c>
      <c r="G84" s="40" t="s">
        <v>45</v>
      </c>
      <c r="H84" s="41" t="s">
        <v>46</v>
      </c>
      <c r="I84" s="42"/>
      <c r="J84" s="41" t="s">
        <v>46</v>
      </c>
      <c r="K84" s="42"/>
      <c r="L84" s="42"/>
      <c r="M84" s="42"/>
      <c r="N84" s="43"/>
      <c r="O84" s="43"/>
    </row>
    <row r="85" ht="15.75" customHeight="1">
      <c r="A85" s="38" t="str">
        <f t="shared" si="3"/>
        <v>FT_78</v>
      </c>
      <c r="B85" s="39"/>
      <c r="C85" s="39"/>
      <c r="D85" s="39" t="s">
        <v>304</v>
      </c>
      <c r="E85" s="39" t="s">
        <v>302</v>
      </c>
      <c r="F85" s="39" t="s">
        <v>305</v>
      </c>
      <c r="G85" s="40" t="s">
        <v>45</v>
      </c>
      <c r="H85" s="41" t="s">
        <v>46</v>
      </c>
      <c r="I85" s="42"/>
      <c r="J85" s="41" t="s">
        <v>46</v>
      </c>
      <c r="K85" s="42"/>
      <c r="L85" s="42"/>
      <c r="M85" s="42"/>
      <c r="N85" s="43"/>
      <c r="O85" s="43"/>
    </row>
    <row r="86" ht="15.75" customHeight="1">
      <c r="A86" s="38" t="str">
        <f t="shared" si="3"/>
        <v>FT_79</v>
      </c>
      <c r="B86" s="39"/>
      <c r="C86" s="39" t="s">
        <v>306</v>
      </c>
      <c r="D86" s="39" t="s">
        <v>307</v>
      </c>
      <c r="E86" s="39" t="s">
        <v>308</v>
      </c>
      <c r="F86" s="39" t="s">
        <v>309</v>
      </c>
      <c r="G86" s="40" t="s">
        <v>45</v>
      </c>
      <c r="H86" s="41" t="s">
        <v>46</v>
      </c>
      <c r="I86" s="42"/>
      <c r="J86" s="41" t="s">
        <v>46</v>
      </c>
      <c r="K86" s="42"/>
      <c r="L86" s="42"/>
      <c r="M86" s="42"/>
      <c r="N86" s="43"/>
      <c r="O86" s="43"/>
    </row>
    <row r="87" ht="15.75" customHeight="1">
      <c r="A87" s="38" t="str">
        <f t="shared" si="3"/>
        <v>FT_80</v>
      </c>
      <c r="B87" s="39"/>
      <c r="C87" s="39"/>
      <c r="D87" s="39" t="s">
        <v>310</v>
      </c>
      <c r="E87" s="39" t="s">
        <v>308</v>
      </c>
      <c r="F87" s="39" t="s">
        <v>285</v>
      </c>
      <c r="G87" s="40" t="s">
        <v>45</v>
      </c>
      <c r="H87" s="41" t="s">
        <v>46</v>
      </c>
      <c r="I87" s="42"/>
      <c r="J87" s="41" t="s">
        <v>46</v>
      </c>
      <c r="K87" s="42"/>
      <c r="L87" s="42"/>
      <c r="M87" s="42"/>
      <c r="N87" s="43"/>
      <c r="O87" s="43"/>
    </row>
    <row r="88" ht="15.75" customHeight="1">
      <c r="A88" s="38" t="str">
        <f t="shared" si="3"/>
        <v>FT_81</v>
      </c>
      <c r="B88" s="39"/>
      <c r="C88" s="39" t="s">
        <v>311</v>
      </c>
      <c r="D88" s="39" t="s">
        <v>312</v>
      </c>
      <c r="E88" s="39" t="s">
        <v>313</v>
      </c>
      <c r="F88" s="39" t="s">
        <v>314</v>
      </c>
      <c r="G88" s="40" t="s">
        <v>45</v>
      </c>
      <c r="H88" s="41" t="s">
        <v>46</v>
      </c>
      <c r="I88" s="42"/>
      <c r="J88" s="41" t="s">
        <v>46</v>
      </c>
      <c r="K88" s="42"/>
      <c r="L88" s="42"/>
      <c r="M88" s="42"/>
      <c r="N88" s="43"/>
      <c r="O88" s="43"/>
    </row>
    <row r="89" ht="15.75" customHeight="1">
      <c r="A89" s="38" t="str">
        <f t="shared" si="3"/>
        <v>FT_82</v>
      </c>
      <c r="B89" s="39"/>
      <c r="C89" s="39" t="s">
        <v>315</v>
      </c>
      <c r="D89" s="39" t="s">
        <v>316</v>
      </c>
      <c r="E89" s="39" t="s">
        <v>317</v>
      </c>
      <c r="F89" s="39" t="s">
        <v>318</v>
      </c>
      <c r="G89" s="40" t="s">
        <v>45</v>
      </c>
      <c r="H89" s="41" t="s">
        <v>46</v>
      </c>
      <c r="I89" s="42"/>
      <c r="J89" s="41" t="s">
        <v>46</v>
      </c>
      <c r="K89" s="42"/>
      <c r="L89" s="42"/>
      <c r="M89" s="42"/>
      <c r="N89" s="43"/>
      <c r="O89" s="43"/>
    </row>
    <row r="90" ht="15.75" customHeight="1">
      <c r="A90" s="38" t="str">
        <f t="shared" si="3"/>
        <v>FT_83</v>
      </c>
      <c r="B90" s="39"/>
      <c r="C90" s="39" t="s">
        <v>319</v>
      </c>
      <c r="D90" s="39" t="s">
        <v>287</v>
      </c>
      <c r="E90" s="39" t="s">
        <v>320</v>
      </c>
      <c r="F90" s="39" t="s">
        <v>321</v>
      </c>
      <c r="G90" s="40" t="s">
        <v>45</v>
      </c>
      <c r="H90" s="41" t="s">
        <v>46</v>
      </c>
      <c r="I90" s="42"/>
      <c r="J90" s="41" t="s">
        <v>46</v>
      </c>
      <c r="K90" s="42"/>
      <c r="L90" s="42"/>
      <c r="M90" s="42"/>
      <c r="N90" s="43"/>
      <c r="O90" s="43"/>
    </row>
    <row r="91" ht="15.75" customHeight="1">
      <c r="A91" s="38" t="str">
        <f t="shared" si="3"/>
        <v>FT_84</v>
      </c>
      <c r="B91" s="39"/>
      <c r="C91" s="39" t="s">
        <v>322</v>
      </c>
      <c r="D91" s="39" t="s">
        <v>287</v>
      </c>
      <c r="E91" s="39" t="s">
        <v>323</v>
      </c>
      <c r="F91" s="39" t="s">
        <v>324</v>
      </c>
      <c r="G91" s="40" t="s">
        <v>45</v>
      </c>
      <c r="H91" s="41" t="s">
        <v>46</v>
      </c>
      <c r="I91" s="42"/>
      <c r="J91" s="41" t="s">
        <v>46</v>
      </c>
      <c r="K91" s="42"/>
      <c r="L91" s="42"/>
      <c r="M91" s="42"/>
      <c r="N91" s="43"/>
      <c r="O91" s="43"/>
    </row>
    <row r="92" ht="15.75" customHeight="1">
      <c r="A92" s="38" t="str">
        <f t="shared" si="3"/>
        <v>FT_85</v>
      </c>
      <c r="B92" s="39"/>
      <c r="C92" s="39" t="s">
        <v>325</v>
      </c>
      <c r="D92" s="39" t="s">
        <v>316</v>
      </c>
      <c r="E92" s="39" t="s">
        <v>326</v>
      </c>
      <c r="F92" s="39" t="s">
        <v>327</v>
      </c>
      <c r="G92" s="40" t="s">
        <v>45</v>
      </c>
      <c r="H92" s="41" t="s">
        <v>46</v>
      </c>
      <c r="I92" s="42"/>
      <c r="J92" s="41" t="s">
        <v>46</v>
      </c>
      <c r="K92" s="42"/>
      <c r="L92" s="42"/>
      <c r="M92" s="42"/>
      <c r="N92" s="43"/>
      <c r="O92" s="43"/>
    </row>
    <row r="93" ht="15.75" customHeight="1">
      <c r="A93" s="38" t="str">
        <f t="shared" si="3"/>
        <v>FT_86</v>
      </c>
      <c r="B93" s="39"/>
      <c r="C93" s="39" t="s">
        <v>328</v>
      </c>
      <c r="D93" s="39" t="s">
        <v>316</v>
      </c>
      <c r="E93" s="39" t="s">
        <v>329</v>
      </c>
      <c r="F93" s="39" t="s">
        <v>330</v>
      </c>
      <c r="G93" s="40" t="s">
        <v>45</v>
      </c>
      <c r="H93" s="41" t="s">
        <v>46</v>
      </c>
      <c r="I93" s="42"/>
      <c r="J93" s="41" t="s">
        <v>46</v>
      </c>
      <c r="K93" s="42"/>
      <c r="L93" s="42"/>
      <c r="M93" s="42"/>
      <c r="N93" s="43"/>
      <c r="O93" s="43"/>
    </row>
    <row r="94" ht="15.75" customHeight="1">
      <c r="A94" s="38" t="str">
        <f t="shared" si="3"/>
        <v>FT_87</v>
      </c>
      <c r="B94" s="39"/>
      <c r="C94" s="39" t="s">
        <v>331</v>
      </c>
      <c r="D94" s="39" t="s">
        <v>332</v>
      </c>
      <c r="E94" s="39" t="s">
        <v>333</v>
      </c>
      <c r="F94" s="39" t="s">
        <v>334</v>
      </c>
      <c r="G94" s="40" t="s">
        <v>45</v>
      </c>
      <c r="H94" s="41" t="s">
        <v>46</v>
      </c>
      <c r="I94" s="42"/>
      <c r="J94" s="41" t="s">
        <v>46</v>
      </c>
      <c r="K94" s="42"/>
      <c r="L94" s="42"/>
      <c r="M94" s="42"/>
      <c r="N94" s="43"/>
      <c r="O94" s="43"/>
    </row>
    <row r="95" ht="15.75" customHeight="1">
      <c r="A95" s="38" t="str">
        <f t="shared" si="3"/>
        <v>FT_88</v>
      </c>
      <c r="B95" s="39"/>
      <c r="C95" s="39" t="s">
        <v>335</v>
      </c>
      <c r="D95" s="39" t="s">
        <v>332</v>
      </c>
      <c r="E95" s="39" t="s">
        <v>336</v>
      </c>
      <c r="F95" s="39" t="s">
        <v>337</v>
      </c>
      <c r="G95" s="40" t="s">
        <v>45</v>
      </c>
      <c r="H95" s="41" t="s">
        <v>46</v>
      </c>
      <c r="I95" s="42"/>
      <c r="J95" s="41" t="s">
        <v>46</v>
      </c>
      <c r="K95" s="42"/>
      <c r="L95" s="42"/>
      <c r="M95" s="42"/>
      <c r="N95" s="43"/>
      <c r="O95" s="43"/>
    </row>
    <row r="96" ht="15.75" customHeight="1">
      <c r="A96" s="38" t="str">
        <f t="shared" si="3"/>
        <v>FT_89</v>
      </c>
      <c r="B96" s="39" t="s">
        <v>338</v>
      </c>
      <c r="C96" s="39" t="s">
        <v>339</v>
      </c>
      <c r="D96" s="39" t="s">
        <v>340</v>
      </c>
      <c r="E96" s="39" t="s">
        <v>341</v>
      </c>
      <c r="F96" s="39" t="s">
        <v>342</v>
      </c>
      <c r="G96" s="40" t="s">
        <v>45</v>
      </c>
      <c r="H96" s="41" t="s">
        <v>46</v>
      </c>
      <c r="I96" s="42"/>
      <c r="J96" s="41" t="s">
        <v>46</v>
      </c>
      <c r="K96" s="42"/>
      <c r="L96" s="42"/>
      <c r="M96" s="42"/>
      <c r="N96" s="43"/>
      <c r="O96" s="43"/>
    </row>
    <row r="97" ht="15.75" customHeight="1">
      <c r="A97" s="38" t="str">
        <f t="shared" si="3"/>
        <v>FT_90</v>
      </c>
      <c r="B97" s="39" t="s">
        <v>343</v>
      </c>
      <c r="C97" s="39" t="s">
        <v>343</v>
      </c>
      <c r="D97" s="39" t="s">
        <v>344</v>
      </c>
      <c r="E97" s="39" t="s">
        <v>341</v>
      </c>
      <c r="F97" s="39" t="s">
        <v>345</v>
      </c>
      <c r="G97" s="40" t="s">
        <v>45</v>
      </c>
      <c r="H97" s="41" t="s">
        <v>46</v>
      </c>
      <c r="I97" s="42"/>
      <c r="J97" s="41" t="s">
        <v>46</v>
      </c>
      <c r="K97" s="42"/>
      <c r="L97" s="42"/>
      <c r="M97" s="42"/>
      <c r="N97" s="43"/>
      <c r="O97" s="43"/>
    </row>
    <row r="98" ht="15.75" customHeight="1">
      <c r="A98" s="38" t="str">
        <f t="shared" si="3"/>
        <v>FT_91</v>
      </c>
      <c r="B98" s="39"/>
      <c r="C98" s="39"/>
      <c r="D98" s="39" t="s">
        <v>346</v>
      </c>
      <c r="E98" s="39" t="s">
        <v>341</v>
      </c>
      <c r="F98" s="39" t="s">
        <v>347</v>
      </c>
      <c r="G98" s="40" t="s">
        <v>45</v>
      </c>
      <c r="H98" s="41" t="s">
        <v>46</v>
      </c>
      <c r="I98" s="42"/>
      <c r="J98" s="41" t="s">
        <v>46</v>
      </c>
      <c r="K98" s="42"/>
      <c r="L98" s="42"/>
      <c r="M98" s="42"/>
      <c r="N98" s="43"/>
      <c r="O98" s="43"/>
    </row>
    <row r="99" ht="15.75" customHeight="1">
      <c r="A99" s="38" t="str">
        <f t="shared" si="3"/>
        <v>FT_92</v>
      </c>
      <c r="B99" s="39"/>
      <c r="C99" s="39" t="s">
        <v>348</v>
      </c>
      <c r="D99" s="39" t="s">
        <v>349</v>
      </c>
      <c r="E99" s="39" t="s">
        <v>350</v>
      </c>
      <c r="F99" s="39" t="s">
        <v>351</v>
      </c>
      <c r="G99" s="40" t="s">
        <v>45</v>
      </c>
      <c r="H99" s="41" t="s">
        <v>46</v>
      </c>
      <c r="I99" s="42"/>
      <c r="J99" s="41" t="s">
        <v>46</v>
      </c>
      <c r="K99" s="42"/>
      <c r="L99" s="42"/>
      <c r="M99" s="42"/>
      <c r="N99" s="43"/>
      <c r="O99" s="43"/>
    </row>
    <row r="100" ht="15.75" customHeight="1">
      <c r="A100" s="38" t="str">
        <f t="shared" si="3"/>
        <v>FT_93</v>
      </c>
      <c r="B100" s="39"/>
      <c r="C100" s="39"/>
      <c r="D100" s="39" t="s">
        <v>352</v>
      </c>
      <c r="E100" s="39" t="s">
        <v>350</v>
      </c>
      <c r="F100" s="39" t="s">
        <v>353</v>
      </c>
      <c r="G100" s="40" t="s">
        <v>45</v>
      </c>
      <c r="H100" s="41" t="s">
        <v>46</v>
      </c>
      <c r="I100" s="42"/>
      <c r="J100" s="41" t="s">
        <v>46</v>
      </c>
      <c r="K100" s="42"/>
      <c r="L100" s="42"/>
      <c r="M100" s="42"/>
      <c r="N100" s="43"/>
      <c r="O100" s="43"/>
    </row>
    <row r="101" ht="15.75" customHeight="1">
      <c r="A101" s="38" t="str">
        <f t="shared" si="3"/>
        <v>FT_94</v>
      </c>
      <c r="B101" s="39"/>
      <c r="C101" s="39" t="s">
        <v>354</v>
      </c>
      <c r="D101" s="39" t="s">
        <v>344</v>
      </c>
      <c r="E101" s="39" t="s">
        <v>355</v>
      </c>
      <c r="F101" s="39" t="s">
        <v>356</v>
      </c>
      <c r="G101" s="40" t="s">
        <v>45</v>
      </c>
      <c r="H101" s="41" t="s">
        <v>46</v>
      </c>
      <c r="I101" s="42"/>
      <c r="J101" s="41" t="s">
        <v>46</v>
      </c>
      <c r="K101" s="42"/>
      <c r="L101" s="42"/>
      <c r="M101" s="42"/>
      <c r="N101" s="43"/>
      <c r="O101" s="43"/>
    </row>
    <row r="102" ht="15.75" customHeight="1">
      <c r="A102" s="38" t="str">
        <f t="shared" si="3"/>
        <v>FT_95</v>
      </c>
      <c r="B102" s="39" t="s">
        <v>357</v>
      </c>
      <c r="C102" s="39" t="s">
        <v>358</v>
      </c>
      <c r="D102" s="39" t="s">
        <v>359</v>
      </c>
      <c r="E102" s="39" t="s">
        <v>341</v>
      </c>
      <c r="F102" s="39" t="s">
        <v>360</v>
      </c>
      <c r="G102" s="40" t="s">
        <v>45</v>
      </c>
      <c r="H102" s="41" t="s">
        <v>46</v>
      </c>
      <c r="I102" s="42"/>
      <c r="J102" s="41" t="s">
        <v>46</v>
      </c>
      <c r="K102" s="42"/>
      <c r="L102" s="42"/>
      <c r="M102" s="42"/>
      <c r="N102" s="43"/>
      <c r="O102" s="43"/>
    </row>
    <row r="103" ht="15.75" customHeight="1">
      <c r="A103" s="38" t="str">
        <f t="shared" si="3"/>
        <v>FT_96</v>
      </c>
      <c r="B103" s="39"/>
      <c r="C103" s="39"/>
      <c r="D103" s="39" t="s">
        <v>361</v>
      </c>
      <c r="E103" s="39" t="s">
        <v>341</v>
      </c>
      <c r="F103" s="39" t="s">
        <v>362</v>
      </c>
      <c r="G103" s="40" t="s">
        <v>45</v>
      </c>
      <c r="H103" s="41" t="s">
        <v>46</v>
      </c>
      <c r="I103" s="42"/>
      <c r="J103" s="41" t="s">
        <v>46</v>
      </c>
      <c r="K103" s="42"/>
      <c r="L103" s="42"/>
      <c r="M103" s="42"/>
      <c r="N103" s="43"/>
      <c r="O103" s="43"/>
    </row>
    <row r="104" ht="15.75" customHeight="1">
      <c r="A104" s="38" t="str">
        <f t="shared" si="3"/>
        <v>FT_97</v>
      </c>
      <c r="B104" s="39"/>
      <c r="C104" s="39" t="s">
        <v>348</v>
      </c>
      <c r="D104" s="39" t="s">
        <v>363</v>
      </c>
      <c r="E104" s="39" t="s">
        <v>350</v>
      </c>
      <c r="F104" s="39" t="s">
        <v>364</v>
      </c>
      <c r="G104" s="40" t="s">
        <v>45</v>
      </c>
      <c r="H104" s="41" t="s">
        <v>46</v>
      </c>
      <c r="I104" s="42"/>
      <c r="J104" s="41" t="s">
        <v>46</v>
      </c>
      <c r="K104" s="42"/>
      <c r="L104" s="42"/>
      <c r="M104" s="42"/>
      <c r="N104" s="43"/>
      <c r="O104" s="43"/>
    </row>
    <row r="105" ht="15.75" customHeight="1">
      <c r="A105" s="38" t="str">
        <f t="shared" si="3"/>
        <v>FT_98</v>
      </c>
      <c r="B105" s="39"/>
      <c r="C105" s="39"/>
      <c r="D105" s="39" t="s">
        <v>365</v>
      </c>
      <c r="E105" s="39" t="s">
        <v>350</v>
      </c>
      <c r="F105" s="39" t="s">
        <v>366</v>
      </c>
      <c r="G105" s="40" t="s">
        <v>45</v>
      </c>
      <c r="H105" s="41" t="s">
        <v>46</v>
      </c>
      <c r="I105" s="42"/>
      <c r="J105" s="41" t="s">
        <v>46</v>
      </c>
      <c r="K105" s="42"/>
      <c r="L105" s="42"/>
      <c r="M105" s="42"/>
      <c r="N105" s="43"/>
      <c r="O105" s="43"/>
    </row>
    <row r="106" ht="15.75" customHeight="1">
      <c r="A106" s="38" t="str">
        <f t="shared" si="3"/>
        <v>FT_99</v>
      </c>
      <c r="B106" s="39"/>
      <c r="C106" s="39" t="s">
        <v>354</v>
      </c>
      <c r="D106" s="39" t="s">
        <v>367</v>
      </c>
      <c r="E106" s="39" t="s">
        <v>368</v>
      </c>
      <c r="F106" s="39" t="s">
        <v>369</v>
      </c>
      <c r="G106" s="40" t="s">
        <v>45</v>
      </c>
      <c r="H106" s="41" t="s">
        <v>46</v>
      </c>
      <c r="I106" s="42"/>
      <c r="J106" s="41" t="s">
        <v>46</v>
      </c>
      <c r="K106" s="42"/>
      <c r="L106" s="42"/>
      <c r="M106" s="42"/>
      <c r="N106" s="43"/>
      <c r="O106" s="43"/>
    </row>
    <row r="107" ht="15.75" customHeight="1">
      <c r="A107" s="38" t="str">
        <f t="shared" si="3"/>
        <v>FT_100</v>
      </c>
      <c r="B107" s="39"/>
      <c r="C107" s="39"/>
      <c r="D107" s="39" t="s">
        <v>370</v>
      </c>
      <c r="E107" s="39" t="s">
        <v>371</v>
      </c>
      <c r="F107" s="39" t="s">
        <v>356</v>
      </c>
      <c r="G107" s="40" t="s">
        <v>45</v>
      </c>
      <c r="H107" s="41" t="s">
        <v>46</v>
      </c>
      <c r="I107" s="42"/>
      <c r="J107" s="41" t="s">
        <v>46</v>
      </c>
      <c r="K107" s="42"/>
      <c r="L107" s="42"/>
      <c r="M107" s="42"/>
      <c r="N107" s="43"/>
      <c r="O107" s="43"/>
    </row>
    <row r="108" ht="15.75" customHeight="1">
      <c r="A108" s="38" t="str">
        <f t="shared" si="3"/>
        <v>FT_101</v>
      </c>
      <c r="B108" s="39" t="s">
        <v>372</v>
      </c>
      <c r="C108" s="39" t="s">
        <v>372</v>
      </c>
      <c r="D108" s="39" t="s">
        <v>373</v>
      </c>
      <c r="E108" s="39" t="s">
        <v>341</v>
      </c>
      <c r="F108" s="39" t="s">
        <v>374</v>
      </c>
      <c r="G108" s="40" t="s">
        <v>45</v>
      </c>
      <c r="H108" s="41" t="s">
        <v>46</v>
      </c>
      <c r="I108" s="42"/>
      <c r="J108" s="41" t="s">
        <v>46</v>
      </c>
      <c r="K108" s="42"/>
      <c r="L108" s="42"/>
      <c r="M108" s="42"/>
      <c r="N108" s="43"/>
      <c r="O108" s="43"/>
    </row>
    <row r="109" ht="15.75" customHeight="1">
      <c r="A109" s="38" t="str">
        <f t="shared" si="3"/>
        <v>FT_102</v>
      </c>
      <c r="B109" s="39"/>
      <c r="C109" s="39"/>
      <c r="D109" s="39" t="s">
        <v>375</v>
      </c>
      <c r="E109" s="39" t="s">
        <v>341</v>
      </c>
      <c r="F109" s="39" t="s">
        <v>376</v>
      </c>
      <c r="G109" s="40" t="s">
        <v>45</v>
      </c>
      <c r="H109" s="41" t="s">
        <v>46</v>
      </c>
      <c r="I109" s="42"/>
      <c r="J109" s="41" t="s">
        <v>46</v>
      </c>
      <c r="K109" s="42"/>
      <c r="L109" s="42"/>
      <c r="M109" s="42"/>
      <c r="N109" s="43"/>
      <c r="O109" s="43"/>
    </row>
    <row r="110" ht="15.75" customHeight="1">
      <c r="A110" s="38" t="str">
        <f t="shared" si="3"/>
        <v>FT_103</v>
      </c>
      <c r="B110" s="39"/>
      <c r="C110" s="39" t="s">
        <v>348</v>
      </c>
      <c r="D110" s="39" t="s">
        <v>377</v>
      </c>
      <c r="E110" s="39" t="s">
        <v>350</v>
      </c>
      <c r="F110" s="39" t="s">
        <v>378</v>
      </c>
      <c r="G110" s="40" t="s">
        <v>45</v>
      </c>
      <c r="H110" s="41" t="s">
        <v>46</v>
      </c>
      <c r="I110" s="42"/>
      <c r="J110" s="41" t="s">
        <v>46</v>
      </c>
      <c r="K110" s="42"/>
      <c r="L110" s="42"/>
      <c r="M110" s="42"/>
      <c r="N110" s="43"/>
      <c r="O110" s="43"/>
    </row>
    <row r="111" ht="15.75" customHeight="1">
      <c r="A111" s="38" t="str">
        <f t="shared" si="3"/>
        <v>FT_104</v>
      </c>
      <c r="B111" s="39"/>
      <c r="C111" s="39"/>
      <c r="D111" s="39" t="s">
        <v>379</v>
      </c>
      <c r="E111" s="39" t="s">
        <v>350</v>
      </c>
      <c r="F111" s="39" t="s">
        <v>380</v>
      </c>
      <c r="G111" s="40" t="s">
        <v>45</v>
      </c>
      <c r="H111" s="41" t="s">
        <v>46</v>
      </c>
      <c r="I111" s="42"/>
      <c r="J111" s="41" t="s">
        <v>46</v>
      </c>
      <c r="K111" s="42"/>
      <c r="L111" s="42"/>
      <c r="M111" s="42"/>
      <c r="N111" s="43"/>
      <c r="O111" s="43"/>
    </row>
    <row r="112" ht="15.75" customHeight="1">
      <c r="A112" s="38" t="str">
        <f t="shared" si="3"/>
        <v>FT_105</v>
      </c>
      <c r="B112" s="39"/>
      <c r="C112" s="39" t="s">
        <v>354</v>
      </c>
      <c r="D112" s="39" t="s">
        <v>381</v>
      </c>
      <c r="E112" s="39" t="s">
        <v>382</v>
      </c>
      <c r="F112" s="39" t="s">
        <v>383</v>
      </c>
      <c r="G112" s="40" t="s">
        <v>45</v>
      </c>
      <c r="H112" s="41" t="s">
        <v>46</v>
      </c>
      <c r="I112" s="42"/>
      <c r="J112" s="41" t="s">
        <v>46</v>
      </c>
      <c r="K112" s="42"/>
      <c r="L112" s="42"/>
      <c r="M112" s="42"/>
      <c r="N112" s="43"/>
      <c r="O112" s="43"/>
    </row>
    <row r="113" ht="15.75" customHeight="1">
      <c r="A113" s="38" t="str">
        <f t="shared" si="3"/>
        <v>FT_106</v>
      </c>
      <c r="B113" s="39"/>
      <c r="C113" s="39"/>
      <c r="D113" s="39" t="s">
        <v>381</v>
      </c>
      <c r="E113" s="39" t="s">
        <v>384</v>
      </c>
      <c r="F113" s="39" t="s">
        <v>385</v>
      </c>
      <c r="G113" s="40" t="s">
        <v>45</v>
      </c>
      <c r="H113" s="41" t="s">
        <v>46</v>
      </c>
      <c r="I113" s="42"/>
      <c r="J113" s="41" t="s">
        <v>46</v>
      </c>
      <c r="K113" s="42"/>
      <c r="L113" s="42"/>
      <c r="M113" s="42"/>
      <c r="N113" s="43"/>
      <c r="O113" s="43"/>
    </row>
    <row r="114" ht="15.75" customHeight="1">
      <c r="A114" s="38" t="str">
        <f t="shared" si="3"/>
        <v>FT_107</v>
      </c>
      <c r="B114" s="39"/>
      <c r="C114" s="39"/>
      <c r="D114" s="39" t="s">
        <v>381</v>
      </c>
      <c r="E114" s="39" t="s">
        <v>386</v>
      </c>
      <c r="F114" s="39" t="s">
        <v>356</v>
      </c>
      <c r="G114" s="40" t="s">
        <v>45</v>
      </c>
      <c r="H114" s="41" t="s">
        <v>46</v>
      </c>
      <c r="I114" s="42"/>
      <c r="J114" s="41" t="s">
        <v>46</v>
      </c>
      <c r="K114" s="42"/>
      <c r="L114" s="42"/>
      <c r="M114" s="42"/>
      <c r="N114" s="43"/>
      <c r="O114" s="43"/>
    </row>
    <row r="115" ht="15.75" customHeight="1">
      <c r="A115" s="38" t="str">
        <f t="shared" si="3"/>
        <v>FT_108</v>
      </c>
      <c r="B115" s="39" t="s">
        <v>387</v>
      </c>
      <c r="C115" s="39" t="s">
        <v>387</v>
      </c>
      <c r="D115" s="39" t="s">
        <v>388</v>
      </c>
      <c r="E115" s="39" t="s">
        <v>341</v>
      </c>
      <c r="F115" s="39" t="s">
        <v>389</v>
      </c>
      <c r="G115" s="40" t="s">
        <v>45</v>
      </c>
      <c r="H115" s="41" t="s">
        <v>46</v>
      </c>
      <c r="I115" s="42"/>
      <c r="J115" s="41" t="s">
        <v>46</v>
      </c>
      <c r="K115" s="42"/>
      <c r="L115" s="42"/>
      <c r="M115" s="42"/>
      <c r="N115" s="43"/>
      <c r="O115" s="43"/>
    </row>
    <row r="116" ht="15.75" customHeight="1">
      <c r="A116" s="38" t="str">
        <f t="shared" si="3"/>
        <v>FT_109</v>
      </c>
      <c r="B116" s="39"/>
      <c r="C116" s="39"/>
      <c r="D116" s="39" t="s">
        <v>388</v>
      </c>
      <c r="E116" s="39" t="s">
        <v>341</v>
      </c>
      <c r="F116" s="39" t="s">
        <v>390</v>
      </c>
      <c r="G116" s="40" t="s">
        <v>45</v>
      </c>
      <c r="H116" s="41" t="s">
        <v>46</v>
      </c>
      <c r="I116" s="42"/>
      <c r="J116" s="41" t="s">
        <v>46</v>
      </c>
      <c r="K116" s="42"/>
      <c r="L116" s="42"/>
      <c r="M116" s="42"/>
      <c r="N116" s="43"/>
      <c r="O116" s="43"/>
    </row>
    <row r="117" ht="15.75" customHeight="1">
      <c r="A117" s="38" t="str">
        <f t="shared" si="3"/>
        <v>FT_110</v>
      </c>
      <c r="B117" s="39"/>
      <c r="C117" s="39" t="s">
        <v>348</v>
      </c>
      <c r="D117" s="39" t="s">
        <v>391</v>
      </c>
      <c r="E117" s="39" t="s">
        <v>350</v>
      </c>
      <c r="F117" s="39" t="s">
        <v>392</v>
      </c>
      <c r="G117" s="40" t="s">
        <v>45</v>
      </c>
      <c r="H117" s="41" t="s">
        <v>46</v>
      </c>
      <c r="I117" s="42"/>
      <c r="J117" s="41" t="s">
        <v>46</v>
      </c>
      <c r="K117" s="42"/>
      <c r="L117" s="42"/>
      <c r="M117" s="42"/>
      <c r="N117" s="43"/>
      <c r="O117" s="43"/>
    </row>
    <row r="118" ht="15.75" customHeight="1">
      <c r="A118" s="38" t="str">
        <f t="shared" si="3"/>
        <v>FT_111</v>
      </c>
      <c r="B118" s="39"/>
      <c r="C118" s="39"/>
      <c r="D118" s="39" t="s">
        <v>393</v>
      </c>
      <c r="E118" s="39" t="s">
        <v>350</v>
      </c>
      <c r="F118" s="39" t="s">
        <v>394</v>
      </c>
      <c r="G118" s="40" t="s">
        <v>45</v>
      </c>
      <c r="H118" s="41" t="s">
        <v>46</v>
      </c>
      <c r="I118" s="42"/>
      <c r="J118" s="41" t="s">
        <v>46</v>
      </c>
      <c r="K118" s="42"/>
      <c r="L118" s="42"/>
      <c r="M118" s="42"/>
      <c r="N118" s="43"/>
      <c r="O118" s="43"/>
    </row>
    <row r="119" ht="15.75" customHeight="1">
      <c r="A119" s="38" t="str">
        <f t="shared" si="3"/>
        <v>FT_112</v>
      </c>
      <c r="B119" s="39"/>
      <c r="C119" s="39" t="s">
        <v>354</v>
      </c>
      <c r="D119" s="39" t="s">
        <v>395</v>
      </c>
      <c r="E119" s="39" t="s">
        <v>396</v>
      </c>
      <c r="F119" s="39" t="s">
        <v>397</v>
      </c>
      <c r="G119" s="40" t="s">
        <v>45</v>
      </c>
      <c r="H119" s="41" t="s">
        <v>46</v>
      </c>
      <c r="I119" s="42"/>
      <c r="J119" s="41" t="s">
        <v>46</v>
      </c>
      <c r="K119" s="42"/>
      <c r="L119" s="42"/>
      <c r="M119" s="42"/>
      <c r="N119" s="43"/>
      <c r="O119" s="43"/>
    </row>
    <row r="120" ht="15.75" customHeight="1">
      <c r="A120" s="38" t="str">
        <f t="shared" si="3"/>
        <v>FT_113</v>
      </c>
      <c r="B120" s="39"/>
      <c r="C120" s="39"/>
      <c r="D120" s="39" t="s">
        <v>395</v>
      </c>
      <c r="E120" s="39" t="s">
        <v>382</v>
      </c>
      <c r="F120" s="39" t="s">
        <v>398</v>
      </c>
      <c r="G120" s="40" t="s">
        <v>45</v>
      </c>
      <c r="H120" s="41" t="s">
        <v>46</v>
      </c>
      <c r="I120" s="42"/>
      <c r="J120" s="41" t="s">
        <v>46</v>
      </c>
      <c r="K120" s="42"/>
      <c r="L120" s="42"/>
      <c r="M120" s="42"/>
      <c r="N120" s="43"/>
      <c r="O120" s="43"/>
    </row>
    <row r="121" ht="15.75" customHeight="1">
      <c r="A121" s="38" t="str">
        <f t="shared" si="3"/>
        <v>FT_114</v>
      </c>
      <c r="B121" s="39"/>
      <c r="C121" s="39"/>
      <c r="D121" s="39" t="s">
        <v>395</v>
      </c>
      <c r="E121" s="39" t="s">
        <v>384</v>
      </c>
      <c r="F121" s="39" t="s">
        <v>399</v>
      </c>
      <c r="G121" s="40" t="s">
        <v>45</v>
      </c>
      <c r="H121" s="41" t="s">
        <v>46</v>
      </c>
      <c r="I121" s="42"/>
      <c r="J121" s="41" t="s">
        <v>46</v>
      </c>
      <c r="K121" s="42"/>
      <c r="L121" s="42"/>
      <c r="M121" s="42"/>
      <c r="N121" s="43"/>
      <c r="O121" s="43"/>
    </row>
    <row r="122" ht="15.75" customHeight="1">
      <c r="A122" s="38" t="str">
        <f t="shared" si="3"/>
        <v>FT_115</v>
      </c>
      <c r="B122" s="39"/>
      <c r="C122" s="39"/>
      <c r="D122" s="39" t="s">
        <v>395</v>
      </c>
      <c r="E122" s="39" t="s">
        <v>386</v>
      </c>
      <c r="F122" s="39" t="s">
        <v>356</v>
      </c>
      <c r="G122" s="40" t="s">
        <v>45</v>
      </c>
      <c r="H122" s="41" t="s">
        <v>46</v>
      </c>
      <c r="I122" s="42"/>
      <c r="J122" s="41" t="s">
        <v>46</v>
      </c>
      <c r="K122" s="42"/>
      <c r="L122" s="42"/>
      <c r="M122" s="42"/>
      <c r="N122" s="43"/>
      <c r="O122" s="43"/>
    </row>
    <row r="123" ht="15.75" customHeight="1">
      <c r="A123" s="38" t="str">
        <f t="shared" si="3"/>
        <v>FT_116</v>
      </c>
      <c r="B123" s="39" t="s">
        <v>400</v>
      </c>
      <c r="C123" s="39" t="s">
        <v>401</v>
      </c>
      <c r="D123" s="39"/>
      <c r="E123" s="39" t="s">
        <v>402</v>
      </c>
      <c r="F123" s="39" t="s">
        <v>403</v>
      </c>
      <c r="G123" s="40" t="s">
        <v>45</v>
      </c>
      <c r="H123" s="41" t="s">
        <v>46</v>
      </c>
      <c r="I123" s="42"/>
      <c r="J123" s="41" t="s">
        <v>46</v>
      </c>
      <c r="K123" s="42"/>
      <c r="L123" s="42"/>
      <c r="M123" s="42"/>
      <c r="N123" s="43"/>
      <c r="O123" s="43"/>
    </row>
    <row r="124" ht="30.75" customHeight="1">
      <c r="A124" s="38" t="str">
        <f t="shared" si="3"/>
        <v>FT_117</v>
      </c>
      <c r="B124" s="39" t="s">
        <v>404</v>
      </c>
      <c r="C124" s="39" t="s">
        <v>405</v>
      </c>
      <c r="D124" s="39"/>
      <c r="E124" s="39" t="s">
        <v>406</v>
      </c>
      <c r="F124" s="39" t="s">
        <v>407</v>
      </c>
      <c r="G124" s="40" t="s">
        <v>102</v>
      </c>
      <c r="H124" s="41" t="s">
        <v>46</v>
      </c>
      <c r="I124" s="42"/>
      <c r="J124" s="41" t="s">
        <v>46</v>
      </c>
      <c r="K124" s="42"/>
      <c r="L124" s="42"/>
      <c r="M124" s="42"/>
      <c r="N124" s="43"/>
      <c r="O124" s="43"/>
    </row>
    <row r="125" ht="48.0" customHeight="1">
      <c r="A125" s="38" t="str">
        <f t="shared" si="3"/>
        <v>FT_118</v>
      </c>
      <c r="B125" s="39"/>
      <c r="C125" s="39" t="s">
        <v>408</v>
      </c>
      <c r="D125" s="39"/>
      <c r="E125" s="39" t="s">
        <v>409</v>
      </c>
      <c r="F125" s="39" t="s">
        <v>410</v>
      </c>
      <c r="G125" s="40" t="s">
        <v>45</v>
      </c>
      <c r="H125" s="41" t="s">
        <v>46</v>
      </c>
      <c r="I125" s="42"/>
      <c r="J125" s="41" t="s">
        <v>46</v>
      </c>
      <c r="K125" s="42"/>
      <c r="L125" s="42"/>
      <c r="M125" s="42"/>
      <c r="N125" s="43"/>
      <c r="O125" s="43"/>
    </row>
    <row r="126" ht="15.75" customHeight="1">
      <c r="A126" s="47" t="s">
        <v>411</v>
      </c>
      <c r="B126" s="16"/>
      <c r="C126" s="16"/>
      <c r="D126" s="16"/>
      <c r="E126" s="16"/>
      <c r="F126" s="16"/>
      <c r="G126" s="16"/>
      <c r="H126" s="16"/>
      <c r="I126" s="16"/>
      <c r="J126" s="16"/>
      <c r="K126" s="16"/>
      <c r="L126" s="16"/>
      <c r="M126" s="16"/>
      <c r="N126" s="16"/>
      <c r="O126" s="17"/>
    </row>
    <row r="127" ht="15.75" customHeight="1">
      <c r="A127" s="38" t="str">
        <f t="shared" ref="A127:A185" si="4">IF(F127&lt;&gt;"",""&amp;TEXT($B$1,"##")&amp;"_"&amp;(ROW()-5)-COUNTBLANK(F$6:F127),"")</f>
        <v>FT_119</v>
      </c>
      <c r="B127" s="39" t="s">
        <v>79</v>
      </c>
      <c r="C127" s="39" t="s">
        <v>412</v>
      </c>
      <c r="D127" s="39"/>
      <c r="E127" s="39" t="s">
        <v>120</v>
      </c>
      <c r="F127" s="48" t="s">
        <v>413</v>
      </c>
      <c r="G127" s="40" t="s">
        <v>45</v>
      </c>
      <c r="H127" s="41" t="s">
        <v>46</v>
      </c>
      <c r="I127" s="42"/>
      <c r="J127" s="41" t="s">
        <v>46</v>
      </c>
      <c r="K127" s="42"/>
      <c r="L127" s="50"/>
      <c r="M127" s="50"/>
      <c r="N127" s="51"/>
      <c r="O127" s="51"/>
    </row>
    <row r="128" ht="15.75" customHeight="1">
      <c r="A128" s="38" t="str">
        <f t="shared" si="4"/>
        <v>FT_120</v>
      </c>
      <c r="B128" s="39"/>
      <c r="C128" s="39" t="s">
        <v>247</v>
      </c>
      <c r="D128" s="39" t="s">
        <v>248</v>
      </c>
      <c r="E128" s="39" t="s">
        <v>414</v>
      </c>
      <c r="F128" s="39" t="s">
        <v>250</v>
      </c>
      <c r="G128" s="40" t="s">
        <v>45</v>
      </c>
      <c r="H128" s="41" t="s">
        <v>46</v>
      </c>
      <c r="I128" s="42"/>
      <c r="J128" s="41" t="s">
        <v>46</v>
      </c>
      <c r="K128" s="42"/>
      <c r="L128" s="50"/>
      <c r="M128" s="50"/>
      <c r="N128" s="51"/>
      <c r="O128" s="51"/>
    </row>
    <row r="129" ht="15.75" customHeight="1">
      <c r="A129" s="38" t="str">
        <f t="shared" si="4"/>
        <v>FT_121</v>
      </c>
      <c r="B129" s="39"/>
      <c r="C129" s="39"/>
      <c r="D129" s="39" t="s">
        <v>251</v>
      </c>
      <c r="E129" s="39" t="s">
        <v>415</v>
      </c>
      <c r="F129" s="39" t="s">
        <v>253</v>
      </c>
      <c r="G129" s="40" t="s">
        <v>45</v>
      </c>
      <c r="H129" s="41" t="s">
        <v>46</v>
      </c>
      <c r="I129" s="42"/>
      <c r="J129" s="41" t="s">
        <v>46</v>
      </c>
      <c r="K129" s="42"/>
      <c r="L129" s="50"/>
      <c r="M129" s="50"/>
      <c r="N129" s="51"/>
      <c r="O129" s="51"/>
    </row>
    <row r="130" ht="15.75" customHeight="1">
      <c r="A130" s="38" t="str">
        <f t="shared" si="4"/>
        <v>FT_122</v>
      </c>
      <c r="B130" s="39" t="s">
        <v>254</v>
      </c>
      <c r="C130" s="39" t="s">
        <v>255</v>
      </c>
      <c r="D130" s="39" t="s">
        <v>256</v>
      </c>
      <c r="E130" s="39" t="s">
        <v>416</v>
      </c>
      <c r="F130" s="39" t="s">
        <v>258</v>
      </c>
      <c r="G130" s="40" t="s">
        <v>45</v>
      </c>
      <c r="H130" s="41" t="s">
        <v>46</v>
      </c>
      <c r="I130" s="42"/>
      <c r="J130" s="41" t="s">
        <v>46</v>
      </c>
      <c r="K130" s="42"/>
      <c r="L130" s="50"/>
      <c r="M130" s="50"/>
      <c r="N130" s="51"/>
      <c r="O130" s="51"/>
    </row>
    <row r="131" ht="15.75" customHeight="1">
      <c r="A131" s="38" t="str">
        <f t="shared" si="4"/>
        <v>FT_123</v>
      </c>
      <c r="B131" s="39"/>
      <c r="C131" s="39"/>
      <c r="D131" s="39" t="s">
        <v>259</v>
      </c>
      <c r="E131" s="39" t="s">
        <v>416</v>
      </c>
      <c r="F131" s="39" t="s">
        <v>260</v>
      </c>
      <c r="G131" s="40" t="s">
        <v>45</v>
      </c>
      <c r="H131" s="41" t="s">
        <v>46</v>
      </c>
      <c r="I131" s="42"/>
      <c r="J131" s="41" t="s">
        <v>46</v>
      </c>
      <c r="K131" s="42"/>
      <c r="L131" s="50"/>
      <c r="M131" s="50"/>
      <c r="N131" s="51"/>
      <c r="O131" s="51"/>
    </row>
    <row r="132" ht="15.75" customHeight="1">
      <c r="A132" s="38" t="str">
        <f t="shared" si="4"/>
        <v>FT_124</v>
      </c>
      <c r="B132" s="39"/>
      <c r="C132" s="39" t="s">
        <v>261</v>
      </c>
      <c r="D132" s="39" t="s">
        <v>262</v>
      </c>
      <c r="E132" s="39" t="s">
        <v>417</v>
      </c>
      <c r="F132" s="39" t="s">
        <v>418</v>
      </c>
      <c r="G132" s="40" t="s">
        <v>45</v>
      </c>
      <c r="H132" s="41" t="s">
        <v>46</v>
      </c>
      <c r="I132" s="42"/>
      <c r="J132" s="41" t="s">
        <v>46</v>
      </c>
      <c r="K132" s="42"/>
      <c r="L132" s="50"/>
      <c r="M132" s="50"/>
      <c r="N132" s="51"/>
      <c r="O132" s="51"/>
    </row>
    <row r="133" ht="15.75" customHeight="1">
      <c r="A133" s="38" t="str">
        <f t="shared" si="4"/>
        <v>FT_125</v>
      </c>
      <c r="B133" s="39"/>
      <c r="C133" s="39"/>
      <c r="D133" s="39" t="s">
        <v>265</v>
      </c>
      <c r="E133" s="39" t="s">
        <v>417</v>
      </c>
      <c r="F133" s="39" t="s">
        <v>419</v>
      </c>
      <c r="G133" s="40" t="s">
        <v>45</v>
      </c>
      <c r="H133" s="41" t="s">
        <v>46</v>
      </c>
      <c r="I133" s="42"/>
      <c r="J133" s="41" t="s">
        <v>46</v>
      </c>
      <c r="K133" s="42"/>
      <c r="L133" s="50"/>
      <c r="M133" s="50"/>
      <c r="N133" s="51"/>
      <c r="O133" s="51"/>
    </row>
    <row r="134" ht="15.75" customHeight="1">
      <c r="A134" s="38" t="str">
        <f t="shared" si="4"/>
        <v>FT_126</v>
      </c>
      <c r="B134" s="39"/>
      <c r="C134" s="39" t="s">
        <v>267</v>
      </c>
      <c r="D134" s="39"/>
      <c r="E134" s="39" t="s">
        <v>420</v>
      </c>
      <c r="F134" s="39" t="s">
        <v>421</v>
      </c>
      <c r="G134" s="40" t="s">
        <v>45</v>
      </c>
      <c r="H134" s="41" t="s">
        <v>46</v>
      </c>
      <c r="I134" s="42"/>
      <c r="J134" s="41" t="s">
        <v>46</v>
      </c>
      <c r="K134" s="42"/>
      <c r="L134" s="50"/>
      <c r="M134" s="50"/>
      <c r="N134" s="51"/>
      <c r="O134" s="51"/>
    </row>
    <row r="135" ht="15.75" customHeight="1">
      <c r="A135" s="38" t="str">
        <f t="shared" si="4"/>
        <v>FT_127</v>
      </c>
      <c r="B135" s="39"/>
      <c r="C135" s="39" t="s">
        <v>270</v>
      </c>
      <c r="D135" s="39"/>
      <c r="E135" s="39" t="s">
        <v>422</v>
      </c>
      <c r="F135" s="39" t="s">
        <v>272</v>
      </c>
      <c r="G135" s="40" t="s">
        <v>45</v>
      </c>
      <c r="H135" s="41" t="s">
        <v>46</v>
      </c>
      <c r="I135" s="42"/>
      <c r="J135" s="41" t="s">
        <v>46</v>
      </c>
      <c r="K135" s="42"/>
      <c r="L135" s="50"/>
      <c r="M135" s="50"/>
      <c r="N135" s="51"/>
      <c r="O135" s="51"/>
    </row>
    <row r="136" ht="15.75" customHeight="1">
      <c r="A136" s="38" t="str">
        <f t="shared" si="4"/>
        <v>FT_128</v>
      </c>
      <c r="B136" s="39"/>
      <c r="C136" s="39" t="s">
        <v>273</v>
      </c>
      <c r="D136" s="39" t="s">
        <v>274</v>
      </c>
      <c r="E136" s="39" t="s">
        <v>423</v>
      </c>
      <c r="F136" s="39" t="s">
        <v>276</v>
      </c>
      <c r="G136" s="40" t="s">
        <v>45</v>
      </c>
      <c r="H136" s="41" t="s">
        <v>46</v>
      </c>
      <c r="I136" s="42"/>
      <c r="J136" s="41" t="s">
        <v>46</v>
      </c>
      <c r="K136" s="42"/>
      <c r="L136" s="50"/>
      <c r="M136" s="50"/>
      <c r="N136" s="51"/>
      <c r="O136" s="51"/>
    </row>
    <row r="137" ht="15.75" customHeight="1">
      <c r="A137" s="38" t="str">
        <f t="shared" si="4"/>
        <v>FT_129</v>
      </c>
      <c r="B137" s="39"/>
      <c r="C137" s="39"/>
      <c r="D137" s="39" t="s">
        <v>277</v>
      </c>
      <c r="E137" s="39" t="s">
        <v>423</v>
      </c>
      <c r="F137" s="39" t="s">
        <v>278</v>
      </c>
      <c r="G137" s="40" t="s">
        <v>45</v>
      </c>
      <c r="H137" s="41" t="s">
        <v>46</v>
      </c>
      <c r="I137" s="42"/>
      <c r="J137" s="41" t="s">
        <v>46</v>
      </c>
      <c r="K137" s="42"/>
      <c r="L137" s="50"/>
      <c r="M137" s="50"/>
      <c r="N137" s="51"/>
      <c r="O137" s="51"/>
    </row>
    <row r="138" ht="15.75" customHeight="1">
      <c r="A138" s="38" t="str">
        <f t="shared" si="4"/>
        <v>FT_130</v>
      </c>
      <c r="B138" s="39"/>
      <c r="C138" s="39" t="s">
        <v>279</v>
      </c>
      <c r="D138" s="39" t="s">
        <v>280</v>
      </c>
      <c r="E138" s="39" t="s">
        <v>424</v>
      </c>
      <c r="F138" s="39" t="s">
        <v>282</v>
      </c>
      <c r="G138" s="40" t="s">
        <v>45</v>
      </c>
      <c r="H138" s="41" t="s">
        <v>46</v>
      </c>
      <c r="I138" s="42"/>
      <c r="J138" s="41" t="s">
        <v>46</v>
      </c>
      <c r="K138" s="42"/>
      <c r="L138" s="50"/>
      <c r="M138" s="50"/>
      <c r="N138" s="51"/>
      <c r="O138" s="51"/>
    </row>
    <row r="139" ht="15.75" customHeight="1">
      <c r="A139" s="38" t="str">
        <f t="shared" si="4"/>
        <v>FT_131</v>
      </c>
      <c r="B139" s="39"/>
      <c r="C139" s="39"/>
      <c r="D139" s="39" t="s">
        <v>283</v>
      </c>
      <c r="E139" s="39" t="s">
        <v>425</v>
      </c>
      <c r="F139" s="39" t="s">
        <v>285</v>
      </c>
      <c r="G139" s="40" t="s">
        <v>45</v>
      </c>
      <c r="H139" s="41" t="s">
        <v>46</v>
      </c>
      <c r="I139" s="42"/>
      <c r="J139" s="41" t="s">
        <v>46</v>
      </c>
      <c r="K139" s="42"/>
      <c r="L139" s="50"/>
      <c r="M139" s="50"/>
      <c r="N139" s="51"/>
      <c r="O139" s="51"/>
    </row>
    <row r="140" ht="15.75" customHeight="1">
      <c r="A140" s="38" t="str">
        <f t="shared" si="4"/>
        <v>FT_132</v>
      </c>
      <c r="B140" s="39"/>
      <c r="C140" s="39" t="s">
        <v>267</v>
      </c>
      <c r="D140" s="39" t="s">
        <v>287</v>
      </c>
      <c r="E140" s="39" t="s">
        <v>426</v>
      </c>
      <c r="F140" s="39" t="s">
        <v>299</v>
      </c>
      <c r="G140" s="40" t="s">
        <v>45</v>
      </c>
      <c r="H140" s="41" t="s">
        <v>46</v>
      </c>
      <c r="I140" s="42"/>
      <c r="J140" s="41" t="s">
        <v>46</v>
      </c>
      <c r="K140" s="42"/>
      <c r="L140" s="50"/>
      <c r="M140" s="50"/>
      <c r="N140" s="51"/>
      <c r="O140" s="51"/>
    </row>
    <row r="141" ht="15.75" customHeight="1">
      <c r="A141" s="38" t="str">
        <f t="shared" si="4"/>
        <v>FT_133</v>
      </c>
      <c r="B141" s="39"/>
      <c r="C141" s="39" t="s">
        <v>290</v>
      </c>
      <c r="D141" s="39" t="s">
        <v>291</v>
      </c>
      <c r="E141" s="39" t="s">
        <v>427</v>
      </c>
      <c r="F141" s="39" t="s">
        <v>293</v>
      </c>
      <c r="G141" s="40" t="s">
        <v>45</v>
      </c>
      <c r="H141" s="41" t="s">
        <v>46</v>
      </c>
      <c r="I141" s="42"/>
      <c r="J141" s="41" t="s">
        <v>46</v>
      </c>
      <c r="K141" s="42"/>
      <c r="L141" s="50"/>
      <c r="M141" s="50"/>
      <c r="N141" s="51"/>
      <c r="O141" s="51"/>
    </row>
    <row r="142" ht="15.75" customHeight="1">
      <c r="A142" s="38" t="str">
        <f t="shared" si="4"/>
        <v>FT_134</v>
      </c>
      <c r="B142" s="39"/>
      <c r="C142" s="39" t="s">
        <v>294</v>
      </c>
      <c r="D142" s="39" t="s">
        <v>291</v>
      </c>
      <c r="E142" s="39" t="s">
        <v>428</v>
      </c>
      <c r="F142" s="39" t="s">
        <v>296</v>
      </c>
      <c r="G142" s="40" t="s">
        <v>45</v>
      </c>
      <c r="H142" s="41" t="s">
        <v>46</v>
      </c>
      <c r="I142" s="42"/>
      <c r="J142" s="41" t="s">
        <v>46</v>
      </c>
      <c r="K142" s="42"/>
      <c r="L142" s="50"/>
      <c r="M142" s="50"/>
      <c r="N142" s="51"/>
      <c r="O142" s="51"/>
    </row>
    <row r="143" ht="15.75" customHeight="1">
      <c r="A143" s="38" t="str">
        <f t="shared" si="4"/>
        <v>FT_135</v>
      </c>
      <c r="B143" s="39"/>
      <c r="C143" s="39" t="s">
        <v>429</v>
      </c>
      <c r="D143" s="39" t="s">
        <v>287</v>
      </c>
      <c r="E143" s="39" t="s">
        <v>430</v>
      </c>
      <c r="F143" s="39" t="s">
        <v>431</v>
      </c>
      <c r="G143" s="40" t="s">
        <v>45</v>
      </c>
      <c r="H143" s="41" t="s">
        <v>46</v>
      </c>
      <c r="I143" s="42"/>
      <c r="J143" s="41" t="s">
        <v>46</v>
      </c>
      <c r="K143" s="42"/>
      <c r="L143" s="50"/>
      <c r="M143" s="50"/>
      <c r="N143" s="51"/>
      <c r="O143" s="51"/>
    </row>
    <row r="144" ht="15.75" customHeight="1">
      <c r="A144" s="38" t="str">
        <f t="shared" si="4"/>
        <v>FT_136</v>
      </c>
      <c r="B144" s="39"/>
      <c r="C144" s="39" t="s">
        <v>300</v>
      </c>
      <c r="D144" s="39" t="s">
        <v>301</v>
      </c>
      <c r="E144" s="39" t="s">
        <v>432</v>
      </c>
      <c r="F144" s="39" t="s">
        <v>303</v>
      </c>
      <c r="G144" s="40" t="s">
        <v>45</v>
      </c>
      <c r="H144" s="41" t="s">
        <v>46</v>
      </c>
      <c r="I144" s="42"/>
      <c r="J144" s="41" t="s">
        <v>46</v>
      </c>
      <c r="K144" s="42"/>
      <c r="L144" s="50"/>
      <c r="M144" s="50"/>
      <c r="N144" s="51"/>
      <c r="O144" s="51"/>
    </row>
    <row r="145" ht="15.75" customHeight="1">
      <c r="A145" s="38" t="str">
        <f t="shared" si="4"/>
        <v>FT_137</v>
      </c>
      <c r="B145" s="39"/>
      <c r="C145" s="39"/>
      <c r="D145" s="39" t="s">
        <v>304</v>
      </c>
      <c r="E145" s="39" t="s">
        <v>432</v>
      </c>
      <c r="F145" s="39" t="s">
        <v>305</v>
      </c>
      <c r="G145" s="40" t="s">
        <v>45</v>
      </c>
      <c r="H145" s="41" t="s">
        <v>46</v>
      </c>
      <c r="I145" s="42"/>
      <c r="J145" s="41" t="s">
        <v>46</v>
      </c>
      <c r="K145" s="42"/>
      <c r="L145" s="50"/>
      <c r="M145" s="50"/>
      <c r="N145" s="51"/>
      <c r="O145" s="51"/>
    </row>
    <row r="146" ht="15.75" customHeight="1">
      <c r="A146" s="38" t="str">
        <f t="shared" si="4"/>
        <v>FT_138</v>
      </c>
      <c r="B146" s="39"/>
      <c r="C146" s="39" t="s">
        <v>306</v>
      </c>
      <c r="D146" s="39" t="s">
        <v>307</v>
      </c>
      <c r="E146" s="39" t="s">
        <v>433</v>
      </c>
      <c r="F146" s="39" t="s">
        <v>434</v>
      </c>
      <c r="G146" s="40" t="s">
        <v>45</v>
      </c>
      <c r="H146" s="41" t="s">
        <v>46</v>
      </c>
      <c r="I146" s="42"/>
      <c r="J146" s="41" t="s">
        <v>46</v>
      </c>
      <c r="K146" s="42"/>
      <c r="L146" s="50"/>
      <c r="M146" s="50"/>
      <c r="N146" s="51"/>
      <c r="O146" s="51"/>
    </row>
    <row r="147" ht="15.75" customHeight="1">
      <c r="A147" s="38" t="str">
        <f t="shared" si="4"/>
        <v>FT_139</v>
      </c>
      <c r="B147" s="39"/>
      <c r="C147" s="39"/>
      <c r="D147" s="39" t="s">
        <v>435</v>
      </c>
      <c r="E147" s="39" t="s">
        <v>433</v>
      </c>
      <c r="F147" s="39" t="s">
        <v>436</v>
      </c>
      <c r="G147" s="40" t="s">
        <v>45</v>
      </c>
      <c r="H147" s="41" t="s">
        <v>46</v>
      </c>
      <c r="I147" s="42"/>
      <c r="J147" s="41" t="s">
        <v>46</v>
      </c>
      <c r="K147" s="42"/>
      <c r="L147" s="50"/>
      <c r="M147" s="50"/>
      <c r="N147" s="51"/>
      <c r="O147" s="51"/>
    </row>
    <row r="148" ht="15.75" customHeight="1">
      <c r="A148" s="38" t="str">
        <f t="shared" si="4"/>
        <v>FT_140</v>
      </c>
      <c r="B148" s="39"/>
      <c r="C148" s="39" t="s">
        <v>311</v>
      </c>
      <c r="D148" s="39" t="s">
        <v>312</v>
      </c>
      <c r="E148" s="39" t="s">
        <v>437</v>
      </c>
      <c r="F148" s="39" t="s">
        <v>438</v>
      </c>
      <c r="G148" s="40" t="s">
        <v>45</v>
      </c>
      <c r="H148" s="41" t="s">
        <v>46</v>
      </c>
      <c r="I148" s="42"/>
      <c r="J148" s="41" t="s">
        <v>46</v>
      </c>
      <c r="K148" s="42"/>
      <c r="L148" s="50"/>
      <c r="M148" s="50"/>
      <c r="N148" s="51"/>
      <c r="O148" s="51"/>
    </row>
    <row r="149" ht="15.75" customHeight="1">
      <c r="A149" s="38" t="str">
        <f t="shared" si="4"/>
        <v>FT_141</v>
      </c>
      <c r="B149" s="39"/>
      <c r="C149" s="39" t="s">
        <v>315</v>
      </c>
      <c r="D149" s="39" t="s">
        <v>316</v>
      </c>
      <c r="E149" s="39" t="s">
        <v>439</v>
      </c>
      <c r="F149" s="39" t="s">
        <v>440</v>
      </c>
      <c r="G149" s="40" t="s">
        <v>45</v>
      </c>
      <c r="H149" s="41" t="s">
        <v>46</v>
      </c>
      <c r="I149" s="42"/>
      <c r="J149" s="41" t="s">
        <v>46</v>
      </c>
      <c r="K149" s="42"/>
      <c r="L149" s="50"/>
      <c r="M149" s="50"/>
      <c r="N149" s="51"/>
      <c r="O149" s="51"/>
    </row>
    <row r="150" ht="15.75" customHeight="1">
      <c r="A150" s="38" t="str">
        <f t="shared" si="4"/>
        <v>FT_142</v>
      </c>
      <c r="B150" s="39"/>
      <c r="C150" s="39" t="s">
        <v>319</v>
      </c>
      <c r="D150" s="39" t="s">
        <v>287</v>
      </c>
      <c r="E150" s="39" t="s">
        <v>441</v>
      </c>
      <c r="F150" s="39" t="s">
        <v>442</v>
      </c>
      <c r="G150" s="40" t="s">
        <v>45</v>
      </c>
      <c r="H150" s="41" t="s">
        <v>46</v>
      </c>
      <c r="I150" s="42"/>
      <c r="J150" s="41" t="s">
        <v>46</v>
      </c>
      <c r="K150" s="42"/>
      <c r="L150" s="50"/>
      <c r="M150" s="50"/>
      <c r="N150" s="51"/>
      <c r="O150" s="51"/>
    </row>
    <row r="151" ht="15.75" customHeight="1">
      <c r="A151" s="38" t="str">
        <f t="shared" si="4"/>
        <v>FT_143</v>
      </c>
      <c r="B151" s="39"/>
      <c r="C151" s="39" t="s">
        <v>322</v>
      </c>
      <c r="D151" s="39" t="s">
        <v>287</v>
      </c>
      <c r="E151" s="39" t="s">
        <v>443</v>
      </c>
      <c r="F151" s="39" t="s">
        <v>444</v>
      </c>
      <c r="G151" s="40" t="s">
        <v>45</v>
      </c>
      <c r="H151" s="41" t="s">
        <v>46</v>
      </c>
      <c r="I151" s="42"/>
      <c r="J151" s="41" t="s">
        <v>46</v>
      </c>
      <c r="K151" s="42"/>
      <c r="L151" s="50"/>
      <c r="M151" s="50"/>
      <c r="N151" s="51"/>
      <c r="O151" s="51"/>
    </row>
    <row r="152" ht="15.75" customHeight="1">
      <c r="A152" s="38" t="str">
        <f t="shared" si="4"/>
        <v>FT_144</v>
      </c>
      <c r="B152" s="39"/>
      <c r="C152" s="39" t="s">
        <v>325</v>
      </c>
      <c r="D152" s="39" t="s">
        <v>316</v>
      </c>
      <c r="E152" s="39" t="s">
        <v>445</v>
      </c>
      <c r="F152" s="39" t="s">
        <v>446</v>
      </c>
      <c r="G152" s="40" t="s">
        <v>45</v>
      </c>
      <c r="H152" s="41" t="s">
        <v>46</v>
      </c>
      <c r="I152" s="42"/>
      <c r="J152" s="41" t="s">
        <v>46</v>
      </c>
      <c r="K152" s="42"/>
      <c r="L152" s="50"/>
      <c r="M152" s="50"/>
      <c r="N152" s="51"/>
      <c r="O152" s="51"/>
    </row>
    <row r="153" ht="15.75" customHeight="1">
      <c r="A153" s="38" t="str">
        <f t="shared" si="4"/>
        <v>FT_145</v>
      </c>
      <c r="B153" s="39"/>
      <c r="C153" s="39" t="s">
        <v>328</v>
      </c>
      <c r="D153" s="39" t="s">
        <v>316</v>
      </c>
      <c r="E153" s="39" t="s">
        <v>447</v>
      </c>
      <c r="F153" s="39" t="s">
        <v>448</v>
      </c>
      <c r="G153" s="40" t="s">
        <v>45</v>
      </c>
      <c r="H153" s="41" t="s">
        <v>46</v>
      </c>
      <c r="I153" s="42"/>
      <c r="J153" s="41" t="s">
        <v>46</v>
      </c>
      <c r="K153" s="42"/>
      <c r="L153" s="50"/>
      <c r="M153" s="50"/>
      <c r="N153" s="51"/>
      <c r="O153" s="51"/>
    </row>
    <row r="154" ht="15.75" customHeight="1">
      <c r="A154" s="38" t="str">
        <f t="shared" si="4"/>
        <v>FT_146</v>
      </c>
      <c r="B154" s="39"/>
      <c r="C154" s="39" t="s">
        <v>331</v>
      </c>
      <c r="D154" s="39" t="s">
        <v>332</v>
      </c>
      <c r="E154" s="39" t="s">
        <v>449</v>
      </c>
      <c r="F154" s="39" t="s">
        <v>450</v>
      </c>
      <c r="G154" s="40" t="s">
        <v>45</v>
      </c>
      <c r="H154" s="41" t="s">
        <v>46</v>
      </c>
      <c r="I154" s="42"/>
      <c r="J154" s="41" t="s">
        <v>46</v>
      </c>
      <c r="K154" s="42"/>
      <c r="L154" s="50"/>
      <c r="M154" s="50"/>
      <c r="N154" s="51"/>
      <c r="O154" s="51"/>
    </row>
    <row r="155" ht="15.75" customHeight="1">
      <c r="A155" s="38" t="str">
        <f t="shared" si="4"/>
        <v>FT_147</v>
      </c>
      <c r="B155" s="39"/>
      <c r="C155" s="39" t="s">
        <v>335</v>
      </c>
      <c r="D155" s="39" t="s">
        <v>332</v>
      </c>
      <c r="E155" s="39" t="s">
        <v>451</v>
      </c>
      <c r="F155" s="39" t="s">
        <v>452</v>
      </c>
      <c r="G155" s="40" t="s">
        <v>45</v>
      </c>
      <c r="H155" s="41" t="s">
        <v>46</v>
      </c>
      <c r="I155" s="42"/>
      <c r="J155" s="41" t="s">
        <v>46</v>
      </c>
      <c r="K155" s="42"/>
      <c r="L155" s="50"/>
      <c r="M155" s="50"/>
      <c r="N155" s="51"/>
      <c r="O155" s="51"/>
    </row>
    <row r="156" ht="15.75" customHeight="1">
      <c r="A156" s="38" t="str">
        <f t="shared" si="4"/>
        <v>FT_148</v>
      </c>
      <c r="B156" s="39" t="s">
        <v>338</v>
      </c>
      <c r="C156" s="39" t="s">
        <v>339</v>
      </c>
      <c r="D156" s="39" t="s">
        <v>453</v>
      </c>
      <c r="E156" s="39" t="s">
        <v>341</v>
      </c>
      <c r="F156" s="39" t="s">
        <v>454</v>
      </c>
      <c r="G156" s="40" t="s">
        <v>45</v>
      </c>
      <c r="H156" s="41" t="s">
        <v>46</v>
      </c>
      <c r="I156" s="42"/>
      <c r="J156" s="41" t="s">
        <v>46</v>
      </c>
      <c r="K156" s="42"/>
      <c r="L156" s="50"/>
      <c r="M156" s="50"/>
      <c r="N156" s="51"/>
      <c r="O156" s="51"/>
    </row>
    <row r="157" ht="15.75" customHeight="1">
      <c r="A157" s="38" t="str">
        <f t="shared" si="4"/>
        <v>FT_149</v>
      </c>
      <c r="B157" s="39" t="s">
        <v>343</v>
      </c>
      <c r="C157" s="39" t="s">
        <v>343</v>
      </c>
      <c r="D157" s="39" t="s">
        <v>455</v>
      </c>
      <c r="E157" s="39" t="s">
        <v>341</v>
      </c>
      <c r="F157" s="39" t="s">
        <v>456</v>
      </c>
      <c r="G157" s="40" t="s">
        <v>45</v>
      </c>
      <c r="H157" s="41" t="s">
        <v>46</v>
      </c>
      <c r="I157" s="42"/>
      <c r="J157" s="41" t="s">
        <v>46</v>
      </c>
      <c r="K157" s="42"/>
      <c r="L157" s="50"/>
      <c r="M157" s="50"/>
      <c r="N157" s="51"/>
      <c r="O157" s="51"/>
    </row>
    <row r="158" ht="15.75" customHeight="1">
      <c r="A158" s="38" t="str">
        <f t="shared" si="4"/>
        <v>FT_150</v>
      </c>
      <c r="B158" s="49"/>
      <c r="C158" s="49"/>
      <c r="D158" s="39" t="s">
        <v>457</v>
      </c>
      <c r="E158" s="39" t="s">
        <v>341</v>
      </c>
      <c r="F158" s="39" t="s">
        <v>458</v>
      </c>
      <c r="G158" s="40" t="s">
        <v>45</v>
      </c>
      <c r="H158" s="41" t="s">
        <v>46</v>
      </c>
      <c r="I158" s="42"/>
      <c r="J158" s="41" t="s">
        <v>46</v>
      </c>
      <c r="K158" s="42"/>
      <c r="L158" s="50"/>
      <c r="M158" s="50"/>
      <c r="N158" s="51"/>
      <c r="O158" s="51"/>
    </row>
    <row r="159" ht="15.75" customHeight="1">
      <c r="A159" s="38" t="str">
        <f t="shared" si="4"/>
        <v>FT_151</v>
      </c>
      <c r="B159" s="49"/>
      <c r="C159" s="39" t="s">
        <v>348</v>
      </c>
      <c r="D159" s="39" t="s">
        <v>459</v>
      </c>
      <c r="E159" s="39" t="s">
        <v>350</v>
      </c>
      <c r="F159" s="39" t="s">
        <v>351</v>
      </c>
      <c r="G159" s="40" t="s">
        <v>45</v>
      </c>
      <c r="H159" s="41" t="s">
        <v>46</v>
      </c>
      <c r="I159" s="42"/>
      <c r="J159" s="41" t="s">
        <v>46</v>
      </c>
      <c r="K159" s="42"/>
      <c r="L159" s="50"/>
      <c r="M159" s="50"/>
      <c r="N159" s="51"/>
      <c r="O159" s="51"/>
    </row>
    <row r="160" ht="15.75" customHeight="1">
      <c r="A160" s="38" t="str">
        <f t="shared" si="4"/>
        <v>FT_152</v>
      </c>
      <c r="B160" s="49"/>
      <c r="C160" s="49"/>
      <c r="D160" s="39" t="s">
        <v>460</v>
      </c>
      <c r="E160" s="39" t="s">
        <v>350</v>
      </c>
      <c r="F160" s="39" t="s">
        <v>353</v>
      </c>
      <c r="G160" s="40" t="s">
        <v>45</v>
      </c>
      <c r="H160" s="41" t="s">
        <v>46</v>
      </c>
      <c r="I160" s="42"/>
      <c r="J160" s="41" t="s">
        <v>46</v>
      </c>
      <c r="K160" s="42"/>
      <c r="L160" s="50"/>
      <c r="M160" s="50"/>
      <c r="N160" s="51"/>
      <c r="O160" s="51"/>
    </row>
    <row r="161" ht="15.75" customHeight="1">
      <c r="A161" s="38" t="str">
        <f t="shared" si="4"/>
        <v>FT_153</v>
      </c>
      <c r="B161" s="49"/>
      <c r="C161" s="39" t="s">
        <v>354</v>
      </c>
      <c r="D161" s="39" t="s">
        <v>455</v>
      </c>
      <c r="E161" s="39" t="s">
        <v>461</v>
      </c>
      <c r="F161" s="39" t="s">
        <v>462</v>
      </c>
      <c r="G161" s="40" t="s">
        <v>45</v>
      </c>
      <c r="H161" s="41" t="s">
        <v>46</v>
      </c>
      <c r="I161" s="42"/>
      <c r="J161" s="41" t="s">
        <v>46</v>
      </c>
      <c r="K161" s="42"/>
      <c r="L161" s="50"/>
      <c r="M161" s="50"/>
      <c r="N161" s="51"/>
      <c r="O161" s="51"/>
    </row>
    <row r="162" ht="15.75" customHeight="1">
      <c r="A162" s="38" t="str">
        <f t="shared" si="4"/>
        <v>FT_154</v>
      </c>
      <c r="B162" s="39" t="s">
        <v>357</v>
      </c>
      <c r="C162" s="39" t="s">
        <v>358</v>
      </c>
      <c r="D162" s="39" t="s">
        <v>463</v>
      </c>
      <c r="E162" s="39" t="s">
        <v>341</v>
      </c>
      <c r="F162" s="39" t="s">
        <v>464</v>
      </c>
      <c r="G162" s="40" t="s">
        <v>45</v>
      </c>
      <c r="H162" s="41" t="s">
        <v>46</v>
      </c>
      <c r="I162" s="42"/>
      <c r="J162" s="41" t="s">
        <v>46</v>
      </c>
      <c r="K162" s="42"/>
      <c r="L162" s="50"/>
      <c r="M162" s="50"/>
      <c r="N162" s="51"/>
      <c r="O162" s="51"/>
    </row>
    <row r="163" ht="15.75" customHeight="1">
      <c r="A163" s="38" t="str">
        <f t="shared" si="4"/>
        <v>FT_155</v>
      </c>
      <c r="B163" s="49"/>
      <c r="C163" s="49"/>
      <c r="D163" s="39" t="s">
        <v>465</v>
      </c>
      <c r="E163" s="39" t="s">
        <v>341</v>
      </c>
      <c r="F163" s="39" t="s">
        <v>466</v>
      </c>
      <c r="G163" s="40" t="s">
        <v>45</v>
      </c>
      <c r="H163" s="41" t="s">
        <v>46</v>
      </c>
      <c r="I163" s="42"/>
      <c r="J163" s="41" t="s">
        <v>46</v>
      </c>
      <c r="K163" s="42"/>
      <c r="L163" s="50"/>
      <c r="M163" s="50"/>
      <c r="N163" s="51"/>
      <c r="O163" s="51"/>
    </row>
    <row r="164" ht="15.75" customHeight="1">
      <c r="A164" s="38" t="str">
        <f t="shared" si="4"/>
        <v>FT_156</v>
      </c>
      <c r="B164" s="49"/>
      <c r="C164" s="39" t="s">
        <v>348</v>
      </c>
      <c r="D164" s="39" t="s">
        <v>467</v>
      </c>
      <c r="E164" s="39" t="s">
        <v>350</v>
      </c>
      <c r="F164" s="39" t="s">
        <v>364</v>
      </c>
      <c r="G164" s="40" t="s">
        <v>45</v>
      </c>
      <c r="H164" s="41" t="s">
        <v>46</v>
      </c>
      <c r="I164" s="42"/>
      <c r="J164" s="41" t="s">
        <v>46</v>
      </c>
      <c r="K164" s="42"/>
      <c r="L164" s="50"/>
      <c r="M164" s="50"/>
      <c r="N164" s="51"/>
      <c r="O164" s="51"/>
    </row>
    <row r="165" ht="15.75" customHeight="1">
      <c r="A165" s="38" t="str">
        <f t="shared" si="4"/>
        <v>FT_157</v>
      </c>
      <c r="B165" s="49"/>
      <c r="C165" s="49"/>
      <c r="D165" s="39" t="s">
        <v>468</v>
      </c>
      <c r="E165" s="39" t="s">
        <v>350</v>
      </c>
      <c r="F165" s="39" t="s">
        <v>366</v>
      </c>
      <c r="G165" s="40" t="s">
        <v>45</v>
      </c>
      <c r="H165" s="41" t="s">
        <v>46</v>
      </c>
      <c r="I165" s="42"/>
      <c r="J165" s="41" t="s">
        <v>46</v>
      </c>
      <c r="K165" s="42"/>
      <c r="L165" s="50"/>
      <c r="M165" s="50"/>
      <c r="N165" s="51"/>
      <c r="O165" s="51"/>
    </row>
    <row r="166" ht="15.75" customHeight="1">
      <c r="A166" s="38" t="str">
        <f t="shared" si="4"/>
        <v>FT_158</v>
      </c>
      <c r="B166" s="49"/>
      <c r="C166" s="39" t="s">
        <v>354</v>
      </c>
      <c r="D166" s="39" t="s">
        <v>469</v>
      </c>
      <c r="E166" s="39" t="s">
        <v>368</v>
      </c>
      <c r="F166" s="39" t="s">
        <v>470</v>
      </c>
      <c r="G166" s="40" t="s">
        <v>45</v>
      </c>
      <c r="H166" s="41" t="s">
        <v>46</v>
      </c>
      <c r="I166" s="42"/>
      <c r="J166" s="41" t="s">
        <v>46</v>
      </c>
      <c r="K166" s="42"/>
      <c r="L166" s="50"/>
      <c r="M166" s="50"/>
      <c r="N166" s="51"/>
      <c r="O166" s="51"/>
    </row>
    <row r="167" ht="15.75" customHeight="1">
      <c r="A167" s="38" t="str">
        <f t="shared" si="4"/>
        <v>FT_159</v>
      </c>
      <c r="B167" s="49"/>
      <c r="C167" s="49"/>
      <c r="D167" s="39" t="s">
        <v>471</v>
      </c>
      <c r="E167" s="39" t="s">
        <v>472</v>
      </c>
      <c r="F167" s="39" t="s">
        <v>462</v>
      </c>
      <c r="G167" s="40" t="s">
        <v>45</v>
      </c>
      <c r="H167" s="41" t="s">
        <v>46</v>
      </c>
      <c r="I167" s="42"/>
      <c r="J167" s="41" t="s">
        <v>46</v>
      </c>
      <c r="K167" s="42"/>
      <c r="L167" s="50"/>
      <c r="M167" s="50"/>
      <c r="N167" s="51"/>
      <c r="O167" s="51"/>
    </row>
    <row r="168" ht="15.75" customHeight="1">
      <c r="A168" s="38" t="str">
        <f t="shared" si="4"/>
        <v>FT_160</v>
      </c>
      <c r="B168" s="39" t="s">
        <v>372</v>
      </c>
      <c r="C168" s="39" t="s">
        <v>372</v>
      </c>
      <c r="D168" s="39" t="s">
        <v>473</v>
      </c>
      <c r="E168" s="39" t="s">
        <v>341</v>
      </c>
      <c r="F168" s="39" t="s">
        <v>474</v>
      </c>
      <c r="G168" s="40" t="s">
        <v>45</v>
      </c>
      <c r="H168" s="41" t="s">
        <v>46</v>
      </c>
      <c r="I168" s="42"/>
      <c r="J168" s="41" t="s">
        <v>46</v>
      </c>
      <c r="K168" s="42"/>
      <c r="L168" s="50"/>
      <c r="M168" s="50"/>
      <c r="N168" s="51"/>
      <c r="O168" s="51"/>
    </row>
    <row r="169" ht="15.75" customHeight="1">
      <c r="A169" s="38" t="str">
        <f t="shared" si="4"/>
        <v>FT_161</v>
      </c>
      <c r="B169" s="49"/>
      <c r="C169" s="49"/>
      <c r="D169" s="39" t="s">
        <v>475</v>
      </c>
      <c r="E169" s="39" t="s">
        <v>341</v>
      </c>
      <c r="F169" s="39" t="s">
        <v>476</v>
      </c>
      <c r="G169" s="40" t="s">
        <v>45</v>
      </c>
      <c r="H169" s="41" t="s">
        <v>46</v>
      </c>
      <c r="I169" s="42"/>
      <c r="J169" s="41" t="s">
        <v>46</v>
      </c>
      <c r="K169" s="42"/>
      <c r="L169" s="50"/>
      <c r="M169" s="50"/>
      <c r="N169" s="51"/>
      <c r="O169" s="51"/>
    </row>
    <row r="170" ht="15.75" customHeight="1">
      <c r="A170" s="38" t="str">
        <f t="shared" si="4"/>
        <v>FT_162</v>
      </c>
      <c r="B170" s="49"/>
      <c r="C170" s="39" t="s">
        <v>348</v>
      </c>
      <c r="D170" s="39" t="s">
        <v>477</v>
      </c>
      <c r="E170" s="39" t="s">
        <v>350</v>
      </c>
      <c r="F170" s="39" t="s">
        <v>378</v>
      </c>
      <c r="G170" s="40" t="s">
        <v>45</v>
      </c>
      <c r="H170" s="41" t="s">
        <v>46</v>
      </c>
      <c r="I170" s="42"/>
      <c r="J170" s="41" t="s">
        <v>46</v>
      </c>
      <c r="K170" s="42"/>
      <c r="L170" s="50"/>
      <c r="M170" s="50"/>
      <c r="N170" s="51"/>
      <c r="O170" s="51"/>
    </row>
    <row r="171" ht="15.75" customHeight="1">
      <c r="A171" s="38" t="str">
        <f t="shared" si="4"/>
        <v>FT_163</v>
      </c>
      <c r="B171" s="49"/>
      <c r="C171" s="49"/>
      <c r="D171" s="39" t="s">
        <v>478</v>
      </c>
      <c r="E171" s="39" t="s">
        <v>350</v>
      </c>
      <c r="F171" s="39" t="s">
        <v>380</v>
      </c>
      <c r="G171" s="40" t="s">
        <v>45</v>
      </c>
      <c r="H171" s="41" t="s">
        <v>46</v>
      </c>
      <c r="I171" s="42"/>
      <c r="J171" s="41" t="s">
        <v>46</v>
      </c>
      <c r="K171" s="42"/>
      <c r="L171" s="50"/>
      <c r="M171" s="50"/>
      <c r="N171" s="51"/>
      <c r="O171" s="51"/>
    </row>
    <row r="172" ht="15.75" customHeight="1">
      <c r="A172" s="38" t="str">
        <f t="shared" si="4"/>
        <v>FT_164</v>
      </c>
      <c r="B172" s="49"/>
      <c r="C172" s="39" t="s">
        <v>354</v>
      </c>
      <c r="D172" s="39" t="s">
        <v>479</v>
      </c>
      <c r="E172" s="39" t="s">
        <v>382</v>
      </c>
      <c r="F172" s="39" t="s">
        <v>480</v>
      </c>
      <c r="G172" s="40" t="s">
        <v>45</v>
      </c>
      <c r="H172" s="41" t="s">
        <v>46</v>
      </c>
      <c r="I172" s="42"/>
      <c r="J172" s="41" t="s">
        <v>46</v>
      </c>
      <c r="K172" s="42"/>
      <c r="L172" s="50"/>
      <c r="M172" s="50"/>
      <c r="N172" s="51"/>
      <c r="O172" s="51"/>
    </row>
    <row r="173" ht="15.75" customHeight="1">
      <c r="A173" s="38" t="str">
        <f t="shared" si="4"/>
        <v>FT_165</v>
      </c>
      <c r="B173" s="49"/>
      <c r="C173" s="49"/>
      <c r="D173" s="39" t="s">
        <v>479</v>
      </c>
      <c r="E173" s="39" t="s">
        <v>384</v>
      </c>
      <c r="F173" s="39" t="s">
        <v>481</v>
      </c>
      <c r="G173" s="40" t="s">
        <v>45</v>
      </c>
      <c r="H173" s="41" t="s">
        <v>46</v>
      </c>
      <c r="I173" s="42"/>
      <c r="J173" s="41" t="s">
        <v>46</v>
      </c>
      <c r="K173" s="42"/>
      <c r="L173" s="50"/>
      <c r="M173" s="50"/>
      <c r="N173" s="51"/>
      <c r="O173" s="51"/>
    </row>
    <row r="174" ht="15.75" customHeight="1">
      <c r="A174" s="38" t="str">
        <f t="shared" si="4"/>
        <v>FT_166</v>
      </c>
      <c r="B174" s="49"/>
      <c r="C174" s="49"/>
      <c r="D174" s="39" t="s">
        <v>479</v>
      </c>
      <c r="E174" s="39" t="s">
        <v>482</v>
      </c>
      <c r="F174" s="39" t="s">
        <v>462</v>
      </c>
      <c r="G174" s="40" t="s">
        <v>45</v>
      </c>
      <c r="H174" s="41" t="s">
        <v>46</v>
      </c>
      <c r="I174" s="42"/>
      <c r="J174" s="41" t="s">
        <v>46</v>
      </c>
      <c r="K174" s="42"/>
      <c r="L174" s="50"/>
      <c r="M174" s="50"/>
      <c r="N174" s="51"/>
      <c r="O174" s="51"/>
    </row>
    <row r="175" ht="15.75" customHeight="1">
      <c r="A175" s="38" t="str">
        <f t="shared" si="4"/>
        <v>FT_167</v>
      </c>
      <c r="B175" s="39" t="s">
        <v>387</v>
      </c>
      <c r="C175" s="39" t="s">
        <v>387</v>
      </c>
      <c r="D175" s="39" t="s">
        <v>483</v>
      </c>
      <c r="E175" s="39" t="s">
        <v>341</v>
      </c>
      <c r="F175" s="39" t="s">
        <v>484</v>
      </c>
      <c r="G175" s="40" t="s">
        <v>45</v>
      </c>
      <c r="H175" s="41" t="s">
        <v>46</v>
      </c>
      <c r="I175" s="42"/>
      <c r="J175" s="41" t="s">
        <v>46</v>
      </c>
      <c r="K175" s="42"/>
      <c r="L175" s="50"/>
      <c r="M175" s="50"/>
      <c r="N175" s="51"/>
      <c r="O175" s="51"/>
    </row>
    <row r="176" ht="15.75" customHeight="1">
      <c r="A176" s="38" t="str">
        <f t="shared" si="4"/>
        <v>FT_168</v>
      </c>
      <c r="B176" s="49"/>
      <c r="C176" s="49"/>
      <c r="D176" s="39" t="s">
        <v>483</v>
      </c>
      <c r="E176" s="39" t="s">
        <v>341</v>
      </c>
      <c r="F176" s="39" t="s">
        <v>485</v>
      </c>
      <c r="G176" s="40" t="s">
        <v>45</v>
      </c>
      <c r="H176" s="41" t="s">
        <v>46</v>
      </c>
      <c r="I176" s="42"/>
      <c r="J176" s="41" t="s">
        <v>46</v>
      </c>
      <c r="K176" s="42"/>
      <c r="L176" s="50"/>
      <c r="M176" s="50"/>
      <c r="N176" s="51"/>
      <c r="O176" s="51"/>
    </row>
    <row r="177" ht="15.75" customHeight="1">
      <c r="A177" s="38" t="str">
        <f t="shared" si="4"/>
        <v>FT_169</v>
      </c>
      <c r="B177" s="49"/>
      <c r="C177" s="39" t="s">
        <v>348</v>
      </c>
      <c r="D177" s="39" t="s">
        <v>486</v>
      </c>
      <c r="E177" s="39" t="s">
        <v>350</v>
      </c>
      <c r="F177" s="39" t="s">
        <v>392</v>
      </c>
      <c r="G177" s="40" t="s">
        <v>45</v>
      </c>
      <c r="H177" s="41" t="s">
        <v>46</v>
      </c>
      <c r="I177" s="42"/>
      <c r="J177" s="41" t="s">
        <v>46</v>
      </c>
      <c r="K177" s="42"/>
      <c r="L177" s="50"/>
      <c r="M177" s="50"/>
      <c r="N177" s="51"/>
      <c r="O177" s="51"/>
    </row>
    <row r="178" ht="15.75" customHeight="1">
      <c r="A178" s="38" t="str">
        <f t="shared" si="4"/>
        <v>FT_170</v>
      </c>
      <c r="B178" s="49"/>
      <c r="C178" s="49"/>
      <c r="D178" s="39" t="s">
        <v>487</v>
      </c>
      <c r="E178" s="39" t="s">
        <v>350</v>
      </c>
      <c r="F178" s="39" t="s">
        <v>394</v>
      </c>
      <c r="G178" s="40" t="s">
        <v>45</v>
      </c>
      <c r="H178" s="41" t="s">
        <v>46</v>
      </c>
      <c r="I178" s="42"/>
      <c r="J178" s="41" t="s">
        <v>46</v>
      </c>
      <c r="K178" s="42"/>
      <c r="L178" s="50"/>
      <c r="M178" s="50"/>
      <c r="N178" s="51"/>
      <c r="O178" s="51"/>
    </row>
    <row r="179" ht="15.75" customHeight="1">
      <c r="A179" s="38" t="str">
        <f t="shared" si="4"/>
        <v>FT_171</v>
      </c>
      <c r="B179" s="49"/>
      <c r="C179" s="39" t="s">
        <v>354</v>
      </c>
      <c r="D179" s="39" t="s">
        <v>488</v>
      </c>
      <c r="E179" s="39" t="s">
        <v>396</v>
      </c>
      <c r="F179" s="39" t="s">
        <v>489</v>
      </c>
      <c r="G179" s="40" t="s">
        <v>45</v>
      </c>
      <c r="H179" s="41" t="s">
        <v>46</v>
      </c>
      <c r="I179" s="42"/>
      <c r="J179" s="41" t="s">
        <v>46</v>
      </c>
      <c r="K179" s="42"/>
      <c r="L179" s="50"/>
      <c r="M179" s="50"/>
      <c r="N179" s="51"/>
      <c r="O179" s="51"/>
    </row>
    <row r="180" ht="15.75" customHeight="1">
      <c r="A180" s="38" t="str">
        <f t="shared" si="4"/>
        <v>FT_172</v>
      </c>
      <c r="B180" s="49"/>
      <c r="C180" s="49"/>
      <c r="D180" s="39" t="s">
        <v>488</v>
      </c>
      <c r="E180" s="39" t="s">
        <v>382</v>
      </c>
      <c r="F180" s="39" t="s">
        <v>490</v>
      </c>
      <c r="G180" s="40" t="s">
        <v>45</v>
      </c>
      <c r="H180" s="41" t="s">
        <v>46</v>
      </c>
      <c r="I180" s="42"/>
      <c r="J180" s="41" t="s">
        <v>46</v>
      </c>
      <c r="K180" s="42"/>
      <c r="L180" s="50"/>
      <c r="M180" s="50"/>
      <c r="N180" s="51"/>
      <c r="O180" s="51"/>
    </row>
    <row r="181" ht="15.75" customHeight="1">
      <c r="A181" s="38" t="str">
        <f t="shared" si="4"/>
        <v>FT_173</v>
      </c>
      <c r="B181" s="49"/>
      <c r="C181" s="49"/>
      <c r="D181" s="39" t="s">
        <v>488</v>
      </c>
      <c r="E181" s="39" t="s">
        <v>384</v>
      </c>
      <c r="F181" s="39" t="s">
        <v>491</v>
      </c>
      <c r="G181" s="40" t="s">
        <v>45</v>
      </c>
      <c r="H181" s="41" t="s">
        <v>46</v>
      </c>
      <c r="I181" s="42"/>
      <c r="J181" s="41" t="s">
        <v>46</v>
      </c>
      <c r="K181" s="42"/>
      <c r="L181" s="50"/>
      <c r="M181" s="50"/>
      <c r="N181" s="51"/>
      <c r="O181" s="51"/>
    </row>
    <row r="182" ht="15.75" customHeight="1">
      <c r="A182" s="38" t="str">
        <f t="shared" si="4"/>
        <v>FT_174</v>
      </c>
      <c r="B182" s="49"/>
      <c r="C182" s="49"/>
      <c r="D182" s="39" t="s">
        <v>488</v>
      </c>
      <c r="E182" s="39" t="s">
        <v>482</v>
      </c>
      <c r="F182" s="39" t="s">
        <v>462</v>
      </c>
      <c r="G182" s="40" t="s">
        <v>45</v>
      </c>
      <c r="H182" s="41" t="s">
        <v>46</v>
      </c>
      <c r="I182" s="42"/>
      <c r="J182" s="41" t="s">
        <v>46</v>
      </c>
      <c r="K182" s="42"/>
      <c r="L182" s="50"/>
      <c r="M182" s="50"/>
      <c r="N182" s="51"/>
      <c r="O182" s="51"/>
    </row>
    <row r="183" ht="15.75" customHeight="1">
      <c r="A183" s="38" t="str">
        <f t="shared" si="4"/>
        <v>FT_175</v>
      </c>
      <c r="B183" s="39" t="s">
        <v>400</v>
      </c>
      <c r="C183" s="39" t="s">
        <v>492</v>
      </c>
      <c r="D183" s="39"/>
      <c r="E183" s="39" t="s">
        <v>402</v>
      </c>
      <c r="F183" s="39" t="s">
        <v>403</v>
      </c>
      <c r="G183" s="40" t="s">
        <v>45</v>
      </c>
      <c r="H183" s="41" t="s">
        <v>46</v>
      </c>
      <c r="I183" s="42"/>
      <c r="J183" s="41" t="s">
        <v>46</v>
      </c>
      <c r="K183" s="42"/>
      <c r="L183" s="50"/>
      <c r="M183" s="50"/>
      <c r="N183" s="51"/>
      <c r="O183" s="51"/>
    </row>
    <row r="184" ht="30.75" customHeight="1">
      <c r="A184" s="38" t="str">
        <f t="shared" si="4"/>
        <v>FT_176</v>
      </c>
      <c r="B184" s="39" t="s">
        <v>404</v>
      </c>
      <c r="C184" s="39" t="s">
        <v>405</v>
      </c>
      <c r="D184" s="49"/>
      <c r="E184" s="39" t="s">
        <v>406</v>
      </c>
      <c r="F184" s="39" t="s">
        <v>407</v>
      </c>
      <c r="G184" s="40" t="s">
        <v>45</v>
      </c>
      <c r="H184" s="41" t="s">
        <v>46</v>
      </c>
      <c r="I184" s="42"/>
      <c r="J184" s="41" t="s">
        <v>46</v>
      </c>
      <c r="K184" s="42"/>
      <c r="L184" s="50"/>
      <c r="M184" s="50"/>
      <c r="N184" s="51"/>
      <c r="O184" s="51"/>
    </row>
    <row r="185" ht="48.0" customHeight="1">
      <c r="A185" s="38" t="str">
        <f t="shared" si="4"/>
        <v>FT_177</v>
      </c>
      <c r="B185" s="49"/>
      <c r="C185" s="39" t="s">
        <v>408</v>
      </c>
      <c r="D185" s="49"/>
      <c r="E185" s="39" t="s">
        <v>409</v>
      </c>
      <c r="F185" s="39" t="s">
        <v>493</v>
      </c>
      <c r="G185" s="40" t="s">
        <v>45</v>
      </c>
      <c r="H185" s="41" t="s">
        <v>46</v>
      </c>
      <c r="I185" s="42"/>
      <c r="J185" s="41" t="s">
        <v>46</v>
      </c>
      <c r="K185" s="42"/>
      <c r="L185" s="50"/>
      <c r="M185" s="50"/>
      <c r="N185" s="51"/>
      <c r="O185" s="51"/>
    </row>
    <row r="186" ht="15.75" customHeight="1">
      <c r="A186" s="47" t="s">
        <v>71</v>
      </c>
      <c r="B186" s="16"/>
      <c r="C186" s="16"/>
      <c r="D186" s="16"/>
      <c r="E186" s="16"/>
      <c r="F186" s="16"/>
      <c r="G186" s="16"/>
      <c r="H186" s="16"/>
      <c r="I186" s="16"/>
      <c r="J186" s="16"/>
      <c r="K186" s="16"/>
      <c r="L186" s="16"/>
      <c r="M186" s="16"/>
      <c r="N186" s="16"/>
      <c r="O186" s="17"/>
    </row>
    <row r="187" ht="15.75" customHeight="1">
      <c r="A187" s="38" t="str">
        <f t="shared" ref="A187:A196" si="5">IF(F187&lt;&gt;"",""&amp;TEXT($B$1,"##")&amp;"_"&amp;(ROW()-5)-COUNTBLANK(F$6:F187),"")</f>
        <v>FT_178</v>
      </c>
      <c r="B187" s="39" t="s">
        <v>494</v>
      </c>
      <c r="C187" s="39" t="s">
        <v>495</v>
      </c>
      <c r="D187" s="39" t="s">
        <v>496</v>
      </c>
      <c r="E187" s="39" t="s">
        <v>497</v>
      </c>
      <c r="F187" s="39" t="s">
        <v>498</v>
      </c>
      <c r="G187" s="40" t="s">
        <v>45</v>
      </c>
      <c r="H187" s="41" t="s">
        <v>46</v>
      </c>
      <c r="I187" s="42"/>
      <c r="J187" s="41" t="s">
        <v>46</v>
      </c>
      <c r="K187" s="42"/>
      <c r="L187" s="42"/>
      <c r="M187" s="42"/>
      <c r="N187" s="43"/>
      <c r="O187" s="43"/>
    </row>
    <row r="188" ht="15.75" customHeight="1">
      <c r="A188" s="38" t="str">
        <f t="shared" si="5"/>
        <v>FT_179</v>
      </c>
      <c r="B188" s="39"/>
      <c r="C188" s="39"/>
      <c r="D188" s="39" t="s">
        <v>499</v>
      </c>
      <c r="E188" s="39" t="s">
        <v>500</v>
      </c>
      <c r="F188" s="39" t="s">
        <v>501</v>
      </c>
      <c r="G188" s="40" t="s">
        <v>45</v>
      </c>
      <c r="H188" s="41" t="s">
        <v>46</v>
      </c>
      <c r="I188" s="42"/>
      <c r="J188" s="41" t="s">
        <v>46</v>
      </c>
      <c r="K188" s="42"/>
      <c r="L188" s="42"/>
      <c r="M188" s="42"/>
      <c r="N188" s="43"/>
      <c r="O188" s="43"/>
    </row>
    <row r="189" ht="15.75" customHeight="1">
      <c r="A189" s="38" t="str">
        <f t="shared" si="5"/>
        <v>FT_180</v>
      </c>
      <c r="B189" s="39"/>
      <c r="C189" s="39" t="s">
        <v>502</v>
      </c>
      <c r="D189" s="39" t="s">
        <v>503</v>
      </c>
      <c r="E189" s="39" t="s">
        <v>504</v>
      </c>
      <c r="F189" s="39" t="s">
        <v>505</v>
      </c>
      <c r="G189" s="40" t="s">
        <v>45</v>
      </c>
      <c r="H189" s="41" t="s">
        <v>46</v>
      </c>
      <c r="I189" s="42"/>
      <c r="J189" s="41" t="s">
        <v>46</v>
      </c>
      <c r="K189" s="42"/>
      <c r="L189" s="42"/>
      <c r="M189" s="42"/>
      <c r="N189" s="43"/>
      <c r="O189" s="43"/>
    </row>
    <row r="190" ht="15.75" customHeight="1">
      <c r="A190" s="38" t="str">
        <f t="shared" si="5"/>
        <v>FT_181</v>
      </c>
      <c r="B190" s="39"/>
      <c r="C190" s="39"/>
      <c r="D190" s="39" t="s">
        <v>506</v>
      </c>
      <c r="E190" s="39" t="s">
        <v>507</v>
      </c>
      <c r="F190" s="39" t="s">
        <v>508</v>
      </c>
      <c r="G190" s="40" t="s">
        <v>45</v>
      </c>
      <c r="H190" s="41" t="s">
        <v>46</v>
      </c>
      <c r="I190" s="42"/>
      <c r="J190" s="41" t="s">
        <v>46</v>
      </c>
      <c r="K190" s="42"/>
      <c r="L190" s="42"/>
      <c r="M190" s="42"/>
      <c r="N190" s="43"/>
      <c r="O190" s="43"/>
    </row>
    <row r="191" ht="15.75" customHeight="1">
      <c r="A191" s="38" t="str">
        <f t="shared" si="5"/>
        <v>FT_182</v>
      </c>
      <c r="B191" s="39"/>
      <c r="C191" s="39" t="s">
        <v>509</v>
      </c>
      <c r="D191" s="39" t="s">
        <v>503</v>
      </c>
      <c r="E191" s="39" t="s">
        <v>504</v>
      </c>
      <c r="F191" s="39" t="s">
        <v>510</v>
      </c>
      <c r="G191" s="40" t="s">
        <v>45</v>
      </c>
      <c r="H191" s="41" t="s">
        <v>46</v>
      </c>
      <c r="I191" s="42"/>
      <c r="J191" s="41" t="s">
        <v>46</v>
      </c>
      <c r="K191" s="42"/>
      <c r="L191" s="42"/>
      <c r="M191" s="42"/>
      <c r="N191" s="43"/>
      <c r="O191" s="43"/>
    </row>
    <row r="192" ht="15.75" customHeight="1">
      <c r="A192" s="38" t="str">
        <f t="shared" si="5"/>
        <v>FT_183</v>
      </c>
      <c r="B192" s="39"/>
      <c r="C192" s="39"/>
      <c r="D192" s="39" t="s">
        <v>506</v>
      </c>
      <c r="E192" s="39" t="s">
        <v>507</v>
      </c>
      <c r="F192" s="39" t="s">
        <v>511</v>
      </c>
      <c r="G192" s="40" t="s">
        <v>45</v>
      </c>
      <c r="H192" s="41" t="s">
        <v>46</v>
      </c>
      <c r="I192" s="42"/>
      <c r="J192" s="41" t="s">
        <v>46</v>
      </c>
      <c r="K192" s="42"/>
      <c r="L192" s="42"/>
      <c r="M192" s="42"/>
      <c r="N192" s="43"/>
      <c r="O192" s="43"/>
    </row>
    <row r="193" ht="15.75" customHeight="1">
      <c r="A193" s="38" t="str">
        <f t="shared" si="5"/>
        <v>FT_184</v>
      </c>
      <c r="B193" s="39"/>
      <c r="C193" s="39" t="s">
        <v>512</v>
      </c>
      <c r="D193" s="39" t="s">
        <v>513</v>
      </c>
      <c r="E193" s="39" t="s">
        <v>514</v>
      </c>
      <c r="F193" s="39" t="s">
        <v>515</v>
      </c>
      <c r="G193" s="40" t="s">
        <v>45</v>
      </c>
      <c r="H193" s="41" t="s">
        <v>46</v>
      </c>
      <c r="I193" s="42"/>
      <c r="J193" s="41" t="s">
        <v>46</v>
      </c>
      <c r="K193" s="42"/>
      <c r="L193" s="42"/>
      <c r="M193" s="42"/>
      <c r="N193" s="43"/>
      <c r="O193" s="43"/>
    </row>
    <row r="194" ht="15.75" customHeight="1">
      <c r="A194" s="38" t="str">
        <f t="shared" si="5"/>
        <v>FT_185</v>
      </c>
      <c r="B194" s="39"/>
      <c r="C194" s="39" t="s">
        <v>516</v>
      </c>
      <c r="D194" s="39" t="s">
        <v>513</v>
      </c>
      <c r="E194" s="39" t="s">
        <v>517</v>
      </c>
      <c r="F194" s="39" t="s">
        <v>518</v>
      </c>
      <c r="G194" s="40" t="s">
        <v>45</v>
      </c>
      <c r="H194" s="41" t="s">
        <v>46</v>
      </c>
      <c r="I194" s="42"/>
      <c r="J194" s="41" t="s">
        <v>46</v>
      </c>
      <c r="K194" s="42"/>
      <c r="L194" s="42"/>
      <c r="M194" s="42"/>
      <c r="N194" s="43"/>
      <c r="O194" s="43"/>
    </row>
    <row r="195" ht="15.75" customHeight="1">
      <c r="A195" s="38" t="str">
        <f t="shared" si="5"/>
        <v>FT_186</v>
      </c>
      <c r="B195" s="39" t="s">
        <v>519</v>
      </c>
      <c r="C195" s="39" t="s">
        <v>520</v>
      </c>
      <c r="D195" s="39"/>
      <c r="E195" s="39" t="s">
        <v>521</v>
      </c>
      <c r="F195" s="39" t="s">
        <v>522</v>
      </c>
      <c r="G195" s="40" t="s">
        <v>45</v>
      </c>
      <c r="H195" s="41" t="s">
        <v>46</v>
      </c>
      <c r="I195" s="42"/>
      <c r="J195" s="41" t="s">
        <v>46</v>
      </c>
      <c r="K195" s="42"/>
      <c r="L195" s="42"/>
      <c r="M195" s="42"/>
      <c r="N195" s="43"/>
      <c r="O195" s="43"/>
    </row>
    <row r="196" ht="15.75" customHeight="1">
      <c r="A196" s="38" t="str">
        <f t="shared" si="5"/>
        <v>FT_187</v>
      </c>
      <c r="B196" s="39" t="s">
        <v>523</v>
      </c>
      <c r="C196" s="39" t="s">
        <v>524</v>
      </c>
      <c r="D196" s="39" t="s">
        <v>525</v>
      </c>
      <c r="E196" s="39" t="s">
        <v>526</v>
      </c>
      <c r="F196" s="39" t="s">
        <v>527</v>
      </c>
      <c r="G196" s="40" t="s">
        <v>45</v>
      </c>
      <c r="H196" s="41" t="s">
        <v>46</v>
      </c>
      <c r="I196" s="42"/>
      <c r="J196" s="41" t="s">
        <v>46</v>
      </c>
      <c r="K196" s="42"/>
      <c r="L196" s="42"/>
      <c r="M196" s="42"/>
      <c r="N196" s="43"/>
      <c r="O196" s="43"/>
    </row>
    <row r="197" ht="15.75" customHeight="1">
      <c r="G197" s="46"/>
      <c r="H197" s="46"/>
      <c r="I197" s="46"/>
      <c r="J197" s="46"/>
      <c r="K197" s="46"/>
      <c r="L197" s="46"/>
      <c r="M197" s="46"/>
      <c r="N197" s="46"/>
      <c r="O197" s="46"/>
    </row>
    <row r="198" ht="15.75" customHeight="1">
      <c r="G198" s="46"/>
      <c r="H198" s="46"/>
      <c r="I198" s="46"/>
      <c r="J198" s="46"/>
      <c r="K198" s="46"/>
      <c r="L198" s="46"/>
      <c r="M198" s="46"/>
      <c r="N198" s="46"/>
      <c r="O198" s="46"/>
    </row>
    <row r="199" ht="15.75" customHeight="1">
      <c r="G199" s="46"/>
      <c r="H199" s="46"/>
      <c r="I199" s="46"/>
      <c r="J199" s="46"/>
      <c r="K199" s="46"/>
      <c r="L199" s="46"/>
      <c r="M199" s="46"/>
      <c r="N199" s="46"/>
      <c r="O199" s="46"/>
    </row>
    <row r="200" ht="15.75" customHeight="1">
      <c r="G200" s="46"/>
      <c r="H200" s="46"/>
      <c r="I200" s="46"/>
      <c r="J200" s="46"/>
      <c r="K200" s="46"/>
      <c r="L200" s="46"/>
      <c r="M200" s="46"/>
      <c r="N200" s="46"/>
      <c r="O200" s="46"/>
    </row>
    <row r="201" ht="15.75" customHeight="1">
      <c r="G201" s="46"/>
      <c r="H201" s="46"/>
      <c r="I201" s="46"/>
      <c r="J201" s="46"/>
      <c r="K201" s="46"/>
      <c r="L201" s="46"/>
      <c r="M201" s="46"/>
      <c r="N201" s="46"/>
      <c r="O201" s="46"/>
    </row>
    <row r="202" ht="15.75" customHeight="1">
      <c r="G202" s="46"/>
      <c r="H202" s="46"/>
      <c r="I202" s="46"/>
      <c r="J202" s="46"/>
      <c r="K202" s="46"/>
      <c r="L202" s="46"/>
      <c r="M202" s="46"/>
      <c r="N202" s="46"/>
      <c r="O202" s="46"/>
    </row>
    <row r="203" ht="15.75" customHeight="1">
      <c r="G203" s="46"/>
      <c r="H203" s="46"/>
      <c r="I203" s="46"/>
      <c r="J203" s="46"/>
      <c r="K203" s="46"/>
      <c r="L203" s="46"/>
      <c r="M203" s="46"/>
      <c r="N203" s="46"/>
      <c r="O203" s="46"/>
    </row>
    <row r="204" ht="15.75" customHeight="1">
      <c r="G204" s="46"/>
      <c r="H204" s="46"/>
      <c r="I204" s="46"/>
      <c r="J204" s="46"/>
      <c r="K204" s="46"/>
      <c r="L204" s="46"/>
      <c r="M204" s="46"/>
      <c r="N204" s="46"/>
      <c r="O204" s="46"/>
    </row>
    <row r="205" ht="15.75" customHeight="1">
      <c r="G205" s="46"/>
      <c r="H205" s="46"/>
      <c r="I205" s="46"/>
      <c r="J205" s="46"/>
      <c r="K205" s="46"/>
      <c r="L205" s="46"/>
      <c r="M205" s="46"/>
      <c r="N205" s="46"/>
      <c r="O205" s="46"/>
    </row>
    <row r="206" ht="15.75" customHeight="1">
      <c r="G206" s="46"/>
      <c r="H206" s="46"/>
      <c r="I206" s="46"/>
      <c r="J206" s="46"/>
      <c r="K206" s="46"/>
      <c r="L206" s="46"/>
      <c r="M206" s="46"/>
      <c r="N206" s="46"/>
      <c r="O206" s="46"/>
    </row>
    <row r="207" ht="15.75" customHeight="1">
      <c r="G207" s="46"/>
      <c r="H207" s="46"/>
      <c r="I207" s="46"/>
      <c r="J207" s="46"/>
      <c r="K207" s="46"/>
      <c r="L207" s="46"/>
      <c r="M207" s="46"/>
      <c r="N207" s="46"/>
      <c r="O207" s="46"/>
    </row>
    <row r="208" ht="15.75" customHeight="1">
      <c r="G208" s="46"/>
      <c r="H208" s="46"/>
      <c r="I208" s="46"/>
      <c r="J208" s="46"/>
      <c r="K208" s="46"/>
      <c r="L208" s="46"/>
      <c r="M208" s="46"/>
      <c r="N208" s="46"/>
      <c r="O208" s="46"/>
    </row>
    <row r="209" ht="15.75" customHeight="1">
      <c r="G209" s="46"/>
      <c r="H209" s="46"/>
      <c r="I209" s="46"/>
      <c r="J209" s="46"/>
      <c r="K209" s="46"/>
      <c r="L209" s="46"/>
      <c r="M209" s="46"/>
      <c r="N209" s="46"/>
      <c r="O209" s="46"/>
    </row>
    <row r="210" ht="15.75" customHeight="1">
      <c r="G210" s="46"/>
      <c r="H210" s="46"/>
      <c r="I210" s="46"/>
      <c r="J210" s="46"/>
      <c r="K210" s="46"/>
      <c r="L210" s="46"/>
      <c r="M210" s="46"/>
      <c r="N210" s="46"/>
      <c r="O210" s="46"/>
    </row>
    <row r="211" ht="15.75" customHeight="1">
      <c r="G211" s="46"/>
      <c r="H211" s="46"/>
      <c r="I211" s="46"/>
      <c r="J211" s="46"/>
      <c r="K211" s="46"/>
      <c r="L211" s="46"/>
      <c r="M211" s="46"/>
      <c r="N211" s="46"/>
      <c r="O211" s="46"/>
    </row>
    <row r="212" ht="15.75" customHeight="1">
      <c r="G212" s="46"/>
      <c r="H212" s="46"/>
      <c r="I212" s="46"/>
      <c r="J212" s="46"/>
      <c r="K212" s="46"/>
      <c r="L212" s="46"/>
      <c r="M212" s="46"/>
      <c r="N212" s="46"/>
      <c r="O212" s="46"/>
    </row>
    <row r="213" ht="15.75" customHeight="1">
      <c r="G213" s="46"/>
      <c r="H213" s="46"/>
      <c r="I213" s="46"/>
      <c r="J213" s="46"/>
      <c r="K213" s="46"/>
      <c r="L213" s="46"/>
      <c r="M213" s="46"/>
      <c r="N213" s="46"/>
      <c r="O213" s="46"/>
    </row>
    <row r="214" ht="15.75" customHeight="1">
      <c r="G214" s="46"/>
      <c r="H214" s="46"/>
      <c r="I214" s="46"/>
      <c r="J214" s="46"/>
      <c r="K214" s="46"/>
      <c r="L214" s="46"/>
      <c r="M214" s="46"/>
      <c r="N214" s="46"/>
      <c r="O214" s="46"/>
    </row>
    <row r="215" ht="15.75" customHeight="1">
      <c r="G215" s="46"/>
      <c r="H215" s="46"/>
      <c r="I215" s="46"/>
      <c r="J215" s="46"/>
      <c r="K215" s="46"/>
      <c r="L215" s="46"/>
      <c r="M215" s="46"/>
      <c r="N215" s="46"/>
      <c r="O215" s="46"/>
    </row>
    <row r="216" ht="15.75" customHeight="1">
      <c r="G216" s="46"/>
      <c r="H216" s="46"/>
      <c r="I216" s="46"/>
      <c r="J216" s="46"/>
      <c r="K216" s="46"/>
      <c r="L216" s="46"/>
      <c r="M216" s="46"/>
      <c r="N216" s="46"/>
      <c r="O216" s="46"/>
    </row>
    <row r="217" ht="15.75" customHeight="1">
      <c r="G217" s="46"/>
      <c r="H217" s="46"/>
      <c r="I217" s="46"/>
      <c r="J217" s="46"/>
      <c r="K217" s="46"/>
      <c r="L217" s="46"/>
      <c r="M217" s="46"/>
      <c r="N217" s="46"/>
      <c r="O217" s="46"/>
    </row>
    <row r="218" ht="15.75" customHeight="1">
      <c r="G218" s="46"/>
      <c r="H218" s="46"/>
      <c r="I218" s="46"/>
      <c r="J218" s="46"/>
      <c r="K218" s="46"/>
      <c r="L218" s="46"/>
      <c r="M218" s="46"/>
      <c r="N218" s="46"/>
      <c r="O218" s="46"/>
    </row>
    <row r="219" ht="15.75" customHeight="1">
      <c r="G219" s="46"/>
      <c r="H219" s="46"/>
      <c r="I219" s="46"/>
      <c r="J219" s="46"/>
      <c r="K219" s="46"/>
      <c r="L219" s="46"/>
      <c r="M219" s="46"/>
      <c r="N219" s="46"/>
      <c r="O219" s="46"/>
    </row>
    <row r="220" ht="15.75" customHeight="1">
      <c r="G220" s="46"/>
      <c r="H220" s="46"/>
      <c r="I220" s="46"/>
      <c r="J220" s="46"/>
      <c r="K220" s="46"/>
      <c r="L220" s="46"/>
      <c r="M220" s="46"/>
      <c r="N220" s="46"/>
      <c r="O220" s="46"/>
    </row>
    <row r="221" ht="15.75" customHeight="1">
      <c r="G221" s="46"/>
      <c r="H221" s="46"/>
      <c r="I221" s="46"/>
      <c r="J221" s="46"/>
      <c r="K221" s="46"/>
      <c r="L221" s="46"/>
      <c r="M221" s="46"/>
      <c r="N221" s="46"/>
      <c r="O221" s="46"/>
    </row>
    <row r="222" ht="15.75" customHeight="1">
      <c r="G222" s="46"/>
      <c r="H222" s="46"/>
      <c r="I222" s="46"/>
      <c r="J222" s="46"/>
      <c r="K222" s="46"/>
      <c r="L222" s="46"/>
      <c r="M222" s="46"/>
      <c r="N222" s="46"/>
      <c r="O222" s="46"/>
    </row>
    <row r="223" ht="15.75" customHeight="1">
      <c r="G223" s="46"/>
      <c r="H223" s="46"/>
      <c r="I223" s="46"/>
      <c r="J223" s="46"/>
      <c r="K223" s="46"/>
      <c r="L223" s="46"/>
      <c r="M223" s="46"/>
      <c r="N223" s="46"/>
      <c r="O223" s="46"/>
    </row>
    <row r="224" ht="15.75" customHeight="1">
      <c r="G224" s="46"/>
      <c r="H224" s="46"/>
      <c r="I224" s="46"/>
      <c r="J224" s="46"/>
      <c r="K224" s="46"/>
      <c r="L224" s="46"/>
      <c r="M224" s="46"/>
      <c r="N224" s="46"/>
      <c r="O224" s="46"/>
    </row>
    <row r="225" ht="15.75" customHeight="1">
      <c r="G225" s="46"/>
      <c r="H225" s="46"/>
      <c r="I225" s="46"/>
      <c r="J225" s="46"/>
      <c r="K225" s="46"/>
      <c r="L225" s="46"/>
      <c r="M225" s="46"/>
      <c r="N225" s="46"/>
      <c r="O225" s="46"/>
    </row>
    <row r="226" ht="15.75" customHeight="1">
      <c r="G226" s="46"/>
      <c r="H226" s="46"/>
      <c r="I226" s="46"/>
      <c r="J226" s="46"/>
      <c r="K226" s="46"/>
      <c r="L226" s="46"/>
      <c r="M226" s="46"/>
      <c r="N226" s="46"/>
      <c r="O226" s="46"/>
    </row>
    <row r="227" ht="15.75" customHeight="1">
      <c r="G227" s="46"/>
      <c r="H227" s="46"/>
      <c r="I227" s="46"/>
      <c r="J227" s="46"/>
      <c r="K227" s="46"/>
      <c r="L227" s="46"/>
      <c r="M227" s="46"/>
      <c r="N227" s="46"/>
      <c r="O227" s="46"/>
    </row>
    <row r="228" ht="15.75" customHeight="1">
      <c r="G228" s="46"/>
      <c r="H228" s="46"/>
      <c r="I228" s="46"/>
      <c r="J228" s="46"/>
      <c r="K228" s="46"/>
      <c r="L228" s="46"/>
      <c r="M228" s="46"/>
      <c r="N228" s="46"/>
      <c r="O228" s="46"/>
    </row>
    <row r="229" ht="15.75" customHeight="1">
      <c r="G229" s="46"/>
      <c r="H229" s="46"/>
      <c r="I229" s="46"/>
      <c r="J229" s="46"/>
      <c r="K229" s="46"/>
      <c r="L229" s="46"/>
      <c r="M229" s="46"/>
      <c r="N229" s="46"/>
      <c r="O229" s="46"/>
    </row>
    <row r="230" ht="15.75" customHeight="1">
      <c r="G230" s="46"/>
      <c r="H230" s="46"/>
      <c r="I230" s="46"/>
      <c r="J230" s="46"/>
      <c r="K230" s="46"/>
      <c r="L230" s="46"/>
      <c r="M230" s="46"/>
      <c r="N230" s="46"/>
      <c r="O230" s="46"/>
    </row>
    <row r="231" ht="15.75" customHeight="1">
      <c r="G231" s="46"/>
      <c r="H231" s="46"/>
      <c r="I231" s="46"/>
      <c r="J231" s="46"/>
      <c r="K231" s="46"/>
      <c r="L231" s="46"/>
      <c r="M231" s="46"/>
      <c r="N231" s="46"/>
      <c r="O231" s="46"/>
    </row>
    <row r="232" ht="15.75" customHeight="1">
      <c r="G232" s="46"/>
      <c r="H232" s="46"/>
      <c r="I232" s="46"/>
      <c r="J232" s="46"/>
      <c r="K232" s="46"/>
      <c r="L232" s="46"/>
      <c r="M232" s="46"/>
      <c r="N232" s="46"/>
      <c r="O232" s="46"/>
    </row>
    <row r="233" ht="15.75" customHeight="1">
      <c r="G233" s="46"/>
      <c r="H233" s="46"/>
      <c r="I233" s="46"/>
      <c r="J233" s="46"/>
      <c r="K233" s="46"/>
      <c r="L233" s="46"/>
      <c r="M233" s="46"/>
      <c r="N233" s="46"/>
      <c r="O233" s="46"/>
    </row>
    <row r="234" ht="15.75" customHeight="1">
      <c r="G234" s="46"/>
      <c r="H234" s="46"/>
      <c r="I234" s="46"/>
      <c r="J234" s="46"/>
      <c r="K234" s="46"/>
      <c r="L234" s="46"/>
      <c r="M234" s="46"/>
      <c r="N234" s="46"/>
      <c r="O234" s="46"/>
    </row>
    <row r="235" ht="15.75" customHeight="1">
      <c r="G235" s="46"/>
      <c r="H235" s="46"/>
      <c r="I235" s="46"/>
      <c r="J235" s="46"/>
      <c r="K235" s="46"/>
      <c r="L235" s="46"/>
      <c r="M235" s="46"/>
      <c r="N235" s="46"/>
      <c r="O235" s="46"/>
    </row>
    <row r="236" ht="15.75" customHeight="1">
      <c r="G236" s="46"/>
      <c r="H236" s="46"/>
      <c r="I236" s="46"/>
      <c r="J236" s="46"/>
      <c r="K236" s="46"/>
      <c r="L236" s="46"/>
      <c r="M236" s="46"/>
      <c r="N236" s="46"/>
      <c r="O236" s="46"/>
    </row>
    <row r="237" ht="15.75" customHeight="1">
      <c r="G237" s="46"/>
      <c r="H237" s="46"/>
      <c r="I237" s="46"/>
      <c r="J237" s="46"/>
      <c r="K237" s="46"/>
      <c r="L237" s="46"/>
      <c r="M237" s="46"/>
      <c r="N237" s="46"/>
      <c r="O237" s="46"/>
    </row>
    <row r="238" ht="15.75" customHeight="1">
      <c r="G238" s="46"/>
      <c r="H238" s="46"/>
      <c r="I238" s="46"/>
      <c r="J238" s="46"/>
      <c r="K238" s="46"/>
      <c r="L238" s="46"/>
      <c r="M238" s="46"/>
      <c r="N238" s="46"/>
      <c r="O238" s="46"/>
    </row>
    <row r="239" ht="15.75" customHeight="1">
      <c r="G239" s="46"/>
      <c r="H239" s="46"/>
      <c r="I239" s="46"/>
      <c r="J239" s="46"/>
      <c r="K239" s="46"/>
      <c r="L239" s="46"/>
      <c r="M239" s="46"/>
      <c r="N239" s="46"/>
      <c r="O239" s="46"/>
    </row>
    <row r="240" ht="15.75" customHeight="1">
      <c r="G240" s="46"/>
      <c r="H240" s="46"/>
      <c r="I240" s="46"/>
      <c r="J240" s="46"/>
      <c r="K240" s="46"/>
      <c r="L240" s="46"/>
      <c r="M240" s="46"/>
      <c r="N240" s="46"/>
      <c r="O240" s="46"/>
    </row>
    <row r="241" ht="15.75" customHeight="1">
      <c r="G241" s="46"/>
      <c r="H241" s="46"/>
      <c r="I241" s="46"/>
      <c r="J241" s="46"/>
      <c r="K241" s="46"/>
      <c r="L241" s="46"/>
      <c r="M241" s="46"/>
      <c r="N241" s="46"/>
      <c r="O241" s="46"/>
    </row>
    <row r="242" ht="15.75" customHeight="1">
      <c r="G242" s="46"/>
      <c r="H242" s="46"/>
      <c r="I242" s="46"/>
      <c r="J242" s="46"/>
      <c r="K242" s="46"/>
      <c r="L242" s="46"/>
      <c r="M242" s="46"/>
      <c r="N242" s="46"/>
      <c r="O242" s="46"/>
    </row>
    <row r="243" ht="15.75" customHeight="1">
      <c r="G243" s="46"/>
      <c r="H243" s="46"/>
      <c r="I243" s="46"/>
      <c r="J243" s="46"/>
      <c r="K243" s="46"/>
      <c r="L243" s="46"/>
      <c r="M243" s="46"/>
      <c r="N243" s="46"/>
      <c r="O243" s="46"/>
    </row>
    <row r="244" ht="15.75" customHeight="1">
      <c r="G244" s="46"/>
      <c r="H244" s="46"/>
      <c r="I244" s="46"/>
      <c r="J244" s="46"/>
      <c r="K244" s="46"/>
      <c r="L244" s="46"/>
      <c r="M244" s="46"/>
      <c r="N244" s="46"/>
      <c r="O244" s="46"/>
    </row>
    <row r="245" ht="15.75" customHeight="1">
      <c r="G245" s="46"/>
      <c r="H245" s="46"/>
      <c r="I245" s="46"/>
      <c r="J245" s="46"/>
      <c r="K245" s="46"/>
      <c r="L245" s="46"/>
      <c r="M245" s="46"/>
      <c r="N245" s="46"/>
      <c r="O245" s="46"/>
    </row>
    <row r="246" ht="15.75" customHeight="1">
      <c r="G246" s="46"/>
      <c r="H246" s="46"/>
      <c r="I246" s="46"/>
      <c r="J246" s="46"/>
      <c r="K246" s="46"/>
      <c r="L246" s="46"/>
      <c r="M246" s="46"/>
      <c r="N246" s="46"/>
      <c r="O246" s="46"/>
    </row>
    <row r="247" ht="15.75" customHeight="1">
      <c r="G247" s="46"/>
      <c r="H247" s="46"/>
      <c r="I247" s="46"/>
      <c r="J247" s="46"/>
      <c r="K247" s="46"/>
      <c r="L247" s="46"/>
      <c r="M247" s="46"/>
      <c r="N247" s="46"/>
      <c r="O247" s="46"/>
    </row>
    <row r="248" ht="15.75" customHeight="1">
      <c r="G248" s="46"/>
      <c r="H248" s="46"/>
      <c r="I248" s="46"/>
      <c r="J248" s="46"/>
      <c r="K248" s="46"/>
      <c r="L248" s="46"/>
      <c r="M248" s="46"/>
      <c r="N248" s="46"/>
      <c r="O248" s="46"/>
    </row>
    <row r="249" ht="15.75" customHeight="1">
      <c r="G249" s="46"/>
      <c r="H249" s="46"/>
      <c r="I249" s="46"/>
      <c r="J249" s="46"/>
      <c r="K249" s="46"/>
      <c r="L249" s="46"/>
      <c r="M249" s="46"/>
      <c r="N249" s="46"/>
      <c r="O249" s="46"/>
    </row>
    <row r="250" ht="15.75" customHeight="1">
      <c r="G250" s="46"/>
      <c r="H250" s="46"/>
      <c r="I250" s="46"/>
      <c r="J250" s="46"/>
      <c r="K250" s="46"/>
      <c r="L250" s="46"/>
      <c r="M250" s="46"/>
      <c r="N250" s="46"/>
      <c r="O250" s="46"/>
    </row>
    <row r="251" ht="15.75" customHeight="1">
      <c r="G251" s="46"/>
      <c r="H251" s="46"/>
      <c r="I251" s="46"/>
      <c r="J251" s="46"/>
      <c r="K251" s="46"/>
      <c r="L251" s="46"/>
      <c r="M251" s="46"/>
      <c r="N251" s="46"/>
      <c r="O251" s="46"/>
    </row>
    <row r="252" ht="15.75" customHeight="1">
      <c r="G252" s="46"/>
      <c r="H252" s="46"/>
      <c r="I252" s="46"/>
      <c r="J252" s="46"/>
      <c r="K252" s="46"/>
      <c r="L252" s="46"/>
      <c r="M252" s="46"/>
      <c r="N252" s="46"/>
      <c r="O252" s="46"/>
    </row>
    <row r="253" ht="15.75" customHeight="1">
      <c r="G253" s="46"/>
      <c r="H253" s="46"/>
      <c r="I253" s="46"/>
      <c r="J253" s="46"/>
      <c r="K253" s="46"/>
      <c r="L253" s="46"/>
      <c r="M253" s="46"/>
      <c r="N253" s="46"/>
      <c r="O253" s="46"/>
    </row>
    <row r="254" ht="15.75" customHeight="1">
      <c r="G254" s="46"/>
      <c r="H254" s="46"/>
      <c r="I254" s="46"/>
      <c r="J254" s="46"/>
      <c r="K254" s="46"/>
      <c r="L254" s="46"/>
      <c r="M254" s="46"/>
      <c r="N254" s="46"/>
      <c r="O254" s="46"/>
    </row>
    <row r="255" ht="15.75" customHeight="1">
      <c r="G255" s="46"/>
      <c r="H255" s="46"/>
      <c r="I255" s="46"/>
      <c r="J255" s="46"/>
      <c r="K255" s="46"/>
      <c r="L255" s="46"/>
      <c r="M255" s="46"/>
      <c r="N255" s="46"/>
      <c r="O255" s="46"/>
    </row>
    <row r="256" ht="15.75" customHeight="1">
      <c r="G256" s="46"/>
      <c r="H256" s="46"/>
      <c r="I256" s="46"/>
      <c r="J256" s="46"/>
      <c r="K256" s="46"/>
      <c r="L256" s="46"/>
      <c r="M256" s="46"/>
      <c r="N256" s="46"/>
      <c r="O256" s="46"/>
    </row>
    <row r="257" ht="15.75" customHeight="1">
      <c r="G257" s="46"/>
      <c r="H257" s="46"/>
      <c r="I257" s="46"/>
      <c r="J257" s="46"/>
      <c r="K257" s="46"/>
      <c r="L257" s="46"/>
      <c r="M257" s="46"/>
      <c r="N257" s="46"/>
      <c r="O257" s="46"/>
    </row>
    <row r="258" ht="15.75" customHeight="1">
      <c r="G258" s="46"/>
      <c r="H258" s="46"/>
      <c r="I258" s="46"/>
      <c r="J258" s="46"/>
      <c r="K258" s="46"/>
      <c r="L258" s="46"/>
      <c r="M258" s="46"/>
      <c r="N258" s="46"/>
      <c r="O258" s="46"/>
    </row>
    <row r="259" ht="15.75" customHeight="1">
      <c r="G259" s="46"/>
      <c r="H259" s="46"/>
      <c r="I259" s="46"/>
      <c r="J259" s="46"/>
      <c r="K259" s="46"/>
      <c r="L259" s="46"/>
      <c r="M259" s="46"/>
      <c r="N259" s="46"/>
      <c r="O259" s="46"/>
    </row>
    <row r="260" ht="15.75" customHeight="1">
      <c r="G260" s="46"/>
      <c r="H260" s="46"/>
      <c r="I260" s="46"/>
      <c r="J260" s="46"/>
      <c r="K260" s="46"/>
      <c r="L260" s="46"/>
      <c r="M260" s="46"/>
      <c r="N260" s="46"/>
      <c r="O260" s="46"/>
    </row>
    <row r="261" ht="15.75" customHeight="1">
      <c r="G261" s="46"/>
      <c r="H261" s="46"/>
      <c r="I261" s="46"/>
      <c r="J261" s="46"/>
      <c r="K261" s="46"/>
      <c r="L261" s="46"/>
      <c r="M261" s="46"/>
      <c r="N261" s="46"/>
      <c r="O261" s="46"/>
    </row>
    <row r="262" ht="15.75" customHeight="1">
      <c r="G262" s="46"/>
      <c r="H262" s="46"/>
      <c r="I262" s="46"/>
      <c r="J262" s="46"/>
      <c r="K262" s="46"/>
      <c r="L262" s="46"/>
      <c r="M262" s="46"/>
      <c r="N262" s="46"/>
      <c r="O262" s="46"/>
    </row>
    <row r="263" ht="15.75" customHeight="1">
      <c r="G263" s="46"/>
      <c r="H263" s="46"/>
      <c r="I263" s="46"/>
      <c r="J263" s="46"/>
      <c r="K263" s="46"/>
      <c r="L263" s="46"/>
      <c r="M263" s="46"/>
      <c r="N263" s="46"/>
      <c r="O263" s="46"/>
    </row>
    <row r="264" ht="15.75" customHeight="1">
      <c r="G264" s="46"/>
      <c r="H264" s="46"/>
      <c r="I264" s="46"/>
      <c r="J264" s="46"/>
      <c r="K264" s="46"/>
      <c r="L264" s="46"/>
      <c r="M264" s="46"/>
      <c r="N264" s="46"/>
      <c r="O264" s="46"/>
    </row>
    <row r="265" ht="15.75" customHeight="1">
      <c r="G265" s="46"/>
      <c r="H265" s="46"/>
      <c r="I265" s="46"/>
      <c r="J265" s="46"/>
      <c r="K265" s="46"/>
      <c r="L265" s="46"/>
      <c r="M265" s="46"/>
      <c r="N265" s="46"/>
      <c r="O265" s="46"/>
    </row>
    <row r="266" ht="15.75" customHeight="1">
      <c r="G266" s="46"/>
      <c r="H266" s="46"/>
      <c r="I266" s="46"/>
      <c r="J266" s="46"/>
      <c r="K266" s="46"/>
      <c r="L266" s="46"/>
      <c r="M266" s="46"/>
      <c r="N266" s="46"/>
      <c r="O266" s="46"/>
    </row>
    <row r="267" ht="15.75" customHeight="1">
      <c r="G267" s="46"/>
      <c r="H267" s="46"/>
      <c r="I267" s="46"/>
      <c r="J267" s="46"/>
      <c r="K267" s="46"/>
      <c r="L267" s="46"/>
      <c r="M267" s="46"/>
      <c r="N267" s="46"/>
      <c r="O267" s="46"/>
    </row>
    <row r="268" ht="15.75" customHeight="1">
      <c r="G268" s="46"/>
      <c r="H268" s="46"/>
      <c r="I268" s="46"/>
      <c r="J268" s="46"/>
      <c r="K268" s="46"/>
      <c r="L268" s="46"/>
      <c r="M268" s="46"/>
      <c r="N268" s="46"/>
      <c r="O268" s="46"/>
    </row>
    <row r="269" ht="15.75" customHeight="1">
      <c r="G269" s="46"/>
      <c r="H269" s="46"/>
      <c r="I269" s="46"/>
      <c r="J269" s="46"/>
      <c r="K269" s="46"/>
      <c r="L269" s="46"/>
      <c r="M269" s="46"/>
      <c r="N269" s="46"/>
      <c r="O269" s="46"/>
    </row>
    <row r="270" ht="15.75" customHeight="1">
      <c r="G270" s="46"/>
      <c r="H270" s="46"/>
      <c r="I270" s="46"/>
      <c r="J270" s="46"/>
      <c r="K270" s="46"/>
      <c r="L270" s="46"/>
      <c r="M270" s="46"/>
      <c r="N270" s="46"/>
      <c r="O270" s="46"/>
    </row>
    <row r="271" ht="15.75" customHeight="1">
      <c r="G271" s="46"/>
      <c r="H271" s="46"/>
      <c r="I271" s="46"/>
      <c r="J271" s="46"/>
      <c r="K271" s="46"/>
      <c r="L271" s="46"/>
      <c r="M271" s="46"/>
      <c r="N271" s="46"/>
      <c r="O271" s="46"/>
    </row>
    <row r="272" ht="15.75" customHeight="1">
      <c r="G272" s="46"/>
      <c r="H272" s="46"/>
      <c r="I272" s="46"/>
      <c r="J272" s="46"/>
      <c r="K272" s="46"/>
      <c r="L272" s="46"/>
      <c r="M272" s="46"/>
      <c r="N272" s="46"/>
      <c r="O272" s="46"/>
    </row>
    <row r="273" ht="15.75" customHeight="1">
      <c r="G273" s="46"/>
      <c r="H273" s="46"/>
      <c r="I273" s="46"/>
      <c r="J273" s="46"/>
      <c r="K273" s="46"/>
      <c r="L273" s="46"/>
      <c r="M273" s="46"/>
      <c r="N273" s="46"/>
      <c r="O273" s="46"/>
    </row>
    <row r="274" ht="15.75" customHeight="1">
      <c r="G274" s="46"/>
      <c r="H274" s="46"/>
      <c r="I274" s="46"/>
      <c r="J274" s="46"/>
      <c r="K274" s="46"/>
      <c r="L274" s="46"/>
      <c r="M274" s="46"/>
      <c r="N274" s="46"/>
      <c r="O274" s="46"/>
    </row>
    <row r="275" ht="15.75" customHeight="1">
      <c r="G275" s="46"/>
      <c r="H275" s="46"/>
      <c r="I275" s="46"/>
      <c r="J275" s="46"/>
      <c r="K275" s="46"/>
      <c r="L275" s="46"/>
      <c r="M275" s="46"/>
      <c r="N275" s="46"/>
      <c r="O275" s="46"/>
    </row>
    <row r="276" ht="15.75" customHeight="1">
      <c r="G276" s="46"/>
      <c r="H276" s="46"/>
      <c r="I276" s="46"/>
      <c r="J276" s="46"/>
      <c r="K276" s="46"/>
      <c r="L276" s="46"/>
      <c r="M276" s="46"/>
      <c r="N276" s="46"/>
      <c r="O276" s="46"/>
    </row>
    <row r="277" ht="15.75" customHeight="1">
      <c r="G277" s="46"/>
      <c r="H277" s="46"/>
      <c r="I277" s="46"/>
      <c r="J277" s="46"/>
      <c r="K277" s="46"/>
      <c r="L277" s="46"/>
      <c r="M277" s="46"/>
      <c r="N277" s="46"/>
      <c r="O277" s="46"/>
    </row>
    <row r="278" ht="15.75" customHeight="1">
      <c r="G278" s="46"/>
      <c r="H278" s="46"/>
      <c r="I278" s="46"/>
      <c r="J278" s="46"/>
      <c r="K278" s="46"/>
      <c r="L278" s="46"/>
      <c r="M278" s="46"/>
      <c r="N278" s="46"/>
      <c r="O278" s="46"/>
    </row>
    <row r="279" ht="15.75" customHeight="1">
      <c r="G279" s="46"/>
      <c r="H279" s="46"/>
      <c r="I279" s="46"/>
      <c r="J279" s="46"/>
      <c r="K279" s="46"/>
      <c r="L279" s="46"/>
      <c r="M279" s="46"/>
      <c r="N279" s="46"/>
      <c r="O279" s="46"/>
    </row>
    <row r="280" ht="15.75" customHeight="1">
      <c r="G280" s="46"/>
      <c r="H280" s="46"/>
      <c r="I280" s="46"/>
      <c r="J280" s="46"/>
      <c r="K280" s="46"/>
      <c r="L280" s="46"/>
      <c r="M280" s="46"/>
      <c r="N280" s="46"/>
      <c r="O280" s="46"/>
    </row>
    <row r="281" ht="15.75" customHeight="1">
      <c r="G281" s="46"/>
      <c r="H281" s="46"/>
      <c r="I281" s="46"/>
      <c r="J281" s="46"/>
      <c r="K281" s="46"/>
      <c r="L281" s="46"/>
      <c r="M281" s="46"/>
      <c r="N281" s="46"/>
      <c r="O281" s="46"/>
    </row>
    <row r="282" ht="15.75" customHeight="1">
      <c r="G282" s="46"/>
      <c r="H282" s="46"/>
      <c r="I282" s="46"/>
      <c r="J282" s="46"/>
      <c r="K282" s="46"/>
      <c r="L282" s="46"/>
      <c r="M282" s="46"/>
      <c r="N282" s="46"/>
      <c r="O282" s="46"/>
    </row>
    <row r="283" ht="15.75" customHeight="1">
      <c r="G283" s="46"/>
      <c r="H283" s="46"/>
      <c r="I283" s="46"/>
      <c r="J283" s="46"/>
      <c r="K283" s="46"/>
      <c r="L283" s="46"/>
      <c r="M283" s="46"/>
      <c r="N283" s="46"/>
      <c r="O283" s="46"/>
    </row>
    <row r="284" ht="15.75" customHeight="1">
      <c r="G284" s="46"/>
      <c r="H284" s="46"/>
      <c r="I284" s="46"/>
      <c r="J284" s="46"/>
      <c r="K284" s="46"/>
      <c r="L284" s="46"/>
      <c r="M284" s="46"/>
      <c r="N284" s="46"/>
      <c r="O284" s="46"/>
    </row>
    <row r="285" ht="15.75" customHeight="1">
      <c r="G285" s="46"/>
      <c r="H285" s="46"/>
      <c r="I285" s="46"/>
      <c r="J285" s="46"/>
      <c r="K285" s="46"/>
      <c r="L285" s="46"/>
      <c r="M285" s="46"/>
      <c r="N285" s="46"/>
      <c r="O285" s="46"/>
    </row>
    <row r="286" ht="15.75" customHeight="1">
      <c r="G286" s="46"/>
      <c r="H286" s="46"/>
      <c r="I286" s="46"/>
      <c r="J286" s="46"/>
      <c r="K286" s="46"/>
      <c r="L286" s="46"/>
      <c r="M286" s="46"/>
      <c r="N286" s="46"/>
      <c r="O286" s="46"/>
    </row>
    <row r="287" ht="15.75" customHeight="1">
      <c r="G287" s="46"/>
      <c r="H287" s="46"/>
      <c r="I287" s="46"/>
      <c r="J287" s="46"/>
      <c r="K287" s="46"/>
      <c r="L287" s="46"/>
      <c r="M287" s="46"/>
      <c r="N287" s="46"/>
      <c r="O287" s="46"/>
    </row>
    <row r="288" ht="15.75" customHeight="1">
      <c r="G288" s="46"/>
      <c r="H288" s="46"/>
      <c r="I288" s="46"/>
      <c r="J288" s="46"/>
      <c r="K288" s="46"/>
      <c r="L288" s="46"/>
      <c r="M288" s="46"/>
      <c r="N288" s="46"/>
      <c r="O288" s="46"/>
    </row>
    <row r="289" ht="15.75" customHeight="1">
      <c r="G289" s="46"/>
      <c r="H289" s="46"/>
      <c r="I289" s="46"/>
      <c r="J289" s="46"/>
      <c r="K289" s="46"/>
      <c r="L289" s="46"/>
      <c r="M289" s="46"/>
      <c r="N289" s="46"/>
      <c r="O289" s="46"/>
    </row>
    <row r="290" ht="15.75" customHeight="1">
      <c r="G290" s="46"/>
      <c r="H290" s="46"/>
      <c r="I290" s="46"/>
      <c r="J290" s="46"/>
      <c r="K290" s="46"/>
      <c r="L290" s="46"/>
      <c r="M290" s="46"/>
      <c r="N290" s="46"/>
      <c r="O290" s="46"/>
    </row>
    <row r="291" ht="15.75" customHeight="1">
      <c r="G291" s="46"/>
      <c r="H291" s="46"/>
      <c r="I291" s="46"/>
      <c r="J291" s="46"/>
      <c r="K291" s="46"/>
      <c r="L291" s="46"/>
      <c r="M291" s="46"/>
      <c r="N291" s="46"/>
      <c r="O291" s="46"/>
    </row>
    <row r="292" ht="15.75" customHeight="1">
      <c r="G292" s="46"/>
      <c r="H292" s="46"/>
      <c r="I292" s="46"/>
      <c r="J292" s="46"/>
      <c r="K292" s="46"/>
      <c r="L292" s="46"/>
      <c r="M292" s="46"/>
      <c r="N292" s="46"/>
      <c r="O292" s="46"/>
    </row>
    <row r="293" ht="15.75" customHeight="1">
      <c r="G293" s="46"/>
      <c r="H293" s="46"/>
      <c r="I293" s="46"/>
      <c r="J293" s="46"/>
      <c r="K293" s="46"/>
      <c r="L293" s="46"/>
      <c r="M293" s="46"/>
      <c r="N293" s="46"/>
      <c r="O293" s="46"/>
    </row>
    <row r="294" ht="15.75" customHeight="1">
      <c r="G294" s="46"/>
      <c r="H294" s="46"/>
      <c r="I294" s="46"/>
      <c r="J294" s="46"/>
      <c r="K294" s="46"/>
      <c r="L294" s="46"/>
      <c r="M294" s="46"/>
      <c r="N294" s="46"/>
      <c r="O294" s="46"/>
    </row>
    <row r="295" ht="15.75" customHeight="1">
      <c r="G295" s="46"/>
      <c r="H295" s="46"/>
      <c r="I295" s="46"/>
      <c r="J295" s="46"/>
      <c r="K295" s="46"/>
      <c r="L295" s="46"/>
      <c r="M295" s="46"/>
      <c r="N295" s="46"/>
      <c r="O295" s="46"/>
    </row>
    <row r="296" ht="15.75" customHeight="1">
      <c r="G296" s="46"/>
      <c r="H296" s="46"/>
      <c r="I296" s="46"/>
      <c r="J296" s="46"/>
      <c r="K296" s="46"/>
      <c r="L296" s="46"/>
      <c r="M296" s="46"/>
      <c r="N296" s="46"/>
      <c r="O296" s="46"/>
    </row>
    <row r="297" ht="15.75" customHeight="1">
      <c r="G297" s="46"/>
      <c r="H297" s="46"/>
      <c r="I297" s="46"/>
      <c r="J297" s="46"/>
      <c r="K297" s="46"/>
      <c r="L297" s="46"/>
      <c r="M297" s="46"/>
      <c r="N297" s="46"/>
      <c r="O297" s="46"/>
    </row>
    <row r="298" ht="15.75" customHeight="1">
      <c r="G298" s="46"/>
      <c r="H298" s="46"/>
      <c r="I298" s="46"/>
      <c r="J298" s="46"/>
      <c r="K298" s="46"/>
      <c r="L298" s="46"/>
      <c r="M298" s="46"/>
      <c r="N298" s="46"/>
      <c r="O298" s="46"/>
    </row>
    <row r="299" ht="15.75" customHeight="1">
      <c r="G299" s="46"/>
      <c r="H299" s="46"/>
      <c r="I299" s="46"/>
      <c r="J299" s="46"/>
      <c r="K299" s="46"/>
      <c r="L299" s="46"/>
      <c r="M299" s="46"/>
      <c r="N299" s="46"/>
      <c r="O299" s="46"/>
    </row>
    <row r="300" ht="15.75" customHeight="1">
      <c r="G300" s="46"/>
      <c r="H300" s="46"/>
      <c r="I300" s="46"/>
      <c r="J300" s="46"/>
      <c r="K300" s="46"/>
      <c r="L300" s="46"/>
      <c r="M300" s="46"/>
      <c r="N300" s="46"/>
      <c r="O300" s="46"/>
    </row>
    <row r="301" ht="15.75" customHeight="1">
      <c r="G301" s="46"/>
      <c r="H301" s="46"/>
      <c r="I301" s="46"/>
      <c r="J301" s="46"/>
      <c r="K301" s="46"/>
      <c r="L301" s="46"/>
      <c r="M301" s="46"/>
      <c r="N301" s="46"/>
      <c r="O301" s="46"/>
    </row>
    <row r="302" ht="15.75" customHeight="1">
      <c r="G302" s="46"/>
      <c r="H302" s="46"/>
      <c r="I302" s="46"/>
      <c r="J302" s="46"/>
      <c r="K302" s="46"/>
      <c r="L302" s="46"/>
      <c r="M302" s="46"/>
      <c r="N302" s="46"/>
      <c r="O302" s="46"/>
    </row>
    <row r="303" ht="15.75" customHeight="1">
      <c r="G303" s="46"/>
      <c r="H303" s="46"/>
      <c r="I303" s="46"/>
      <c r="J303" s="46"/>
      <c r="K303" s="46"/>
      <c r="L303" s="46"/>
      <c r="M303" s="46"/>
      <c r="N303" s="46"/>
      <c r="O303" s="46"/>
    </row>
    <row r="304" ht="15.75" customHeight="1">
      <c r="G304" s="46"/>
      <c r="H304" s="46"/>
      <c r="I304" s="46"/>
      <c r="J304" s="46"/>
      <c r="K304" s="46"/>
      <c r="L304" s="46"/>
      <c r="M304" s="46"/>
      <c r="N304" s="46"/>
      <c r="O304" s="46"/>
    </row>
    <row r="305" ht="15.75" customHeight="1">
      <c r="G305" s="46"/>
      <c r="H305" s="46"/>
      <c r="I305" s="46"/>
      <c r="J305" s="46"/>
      <c r="K305" s="46"/>
      <c r="L305" s="46"/>
      <c r="M305" s="46"/>
      <c r="N305" s="46"/>
      <c r="O305" s="46"/>
    </row>
    <row r="306" ht="15.75" customHeight="1">
      <c r="G306" s="46"/>
      <c r="H306" s="46"/>
      <c r="I306" s="46"/>
      <c r="J306" s="46"/>
      <c r="K306" s="46"/>
      <c r="L306" s="46"/>
      <c r="M306" s="46"/>
      <c r="N306" s="46"/>
      <c r="O306" s="46"/>
    </row>
    <row r="307" ht="15.75" customHeight="1">
      <c r="G307" s="46"/>
      <c r="H307" s="46"/>
      <c r="I307" s="46"/>
      <c r="J307" s="46"/>
      <c r="K307" s="46"/>
      <c r="L307" s="46"/>
      <c r="M307" s="46"/>
      <c r="N307" s="46"/>
      <c r="O307" s="46"/>
    </row>
    <row r="308" ht="15.75" customHeight="1">
      <c r="G308" s="46"/>
      <c r="H308" s="46"/>
      <c r="I308" s="46"/>
      <c r="J308" s="46"/>
      <c r="K308" s="46"/>
      <c r="L308" s="46"/>
      <c r="M308" s="46"/>
      <c r="N308" s="46"/>
      <c r="O308" s="46"/>
    </row>
    <row r="309" ht="15.75" customHeight="1">
      <c r="G309" s="46"/>
      <c r="H309" s="46"/>
      <c r="I309" s="46"/>
      <c r="J309" s="46"/>
      <c r="K309" s="46"/>
      <c r="L309" s="46"/>
      <c r="M309" s="46"/>
      <c r="N309" s="46"/>
      <c r="O309" s="46"/>
    </row>
    <row r="310" ht="15.75" customHeight="1">
      <c r="G310" s="46"/>
      <c r="H310" s="46"/>
      <c r="I310" s="46"/>
      <c r="J310" s="46"/>
      <c r="K310" s="46"/>
      <c r="L310" s="46"/>
      <c r="M310" s="46"/>
      <c r="N310" s="46"/>
      <c r="O310" s="46"/>
    </row>
    <row r="311" ht="15.75" customHeight="1">
      <c r="G311" s="46"/>
      <c r="H311" s="46"/>
      <c r="I311" s="46"/>
      <c r="J311" s="46"/>
      <c r="K311" s="46"/>
      <c r="L311" s="46"/>
      <c r="M311" s="46"/>
      <c r="N311" s="46"/>
      <c r="O311" s="46"/>
    </row>
    <row r="312" ht="15.75" customHeight="1">
      <c r="G312" s="46"/>
      <c r="H312" s="46"/>
      <c r="I312" s="46"/>
      <c r="J312" s="46"/>
      <c r="K312" s="46"/>
      <c r="L312" s="46"/>
      <c r="M312" s="46"/>
      <c r="N312" s="46"/>
      <c r="O312" s="46"/>
    </row>
    <row r="313" ht="15.75" customHeight="1">
      <c r="G313" s="46"/>
      <c r="H313" s="46"/>
      <c r="I313" s="46"/>
      <c r="J313" s="46"/>
      <c r="K313" s="46"/>
      <c r="L313" s="46"/>
      <c r="M313" s="46"/>
      <c r="N313" s="46"/>
      <c r="O313" s="46"/>
    </row>
    <row r="314" ht="15.75" customHeight="1">
      <c r="G314" s="46"/>
      <c r="H314" s="46"/>
      <c r="I314" s="46"/>
      <c r="J314" s="46"/>
      <c r="K314" s="46"/>
      <c r="L314" s="46"/>
      <c r="M314" s="46"/>
      <c r="N314" s="46"/>
      <c r="O314" s="46"/>
    </row>
    <row r="315" ht="15.75" customHeight="1">
      <c r="G315" s="46"/>
      <c r="H315" s="46"/>
      <c r="I315" s="46"/>
      <c r="J315" s="46"/>
      <c r="K315" s="46"/>
      <c r="L315" s="46"/>
      <c r="M315" s="46"/>
      <c r="N315" s="46"/>
      <c r="O315" s="46"/>
    </row>
    <row r="316" ht="15.75" customHeight="1">
      <c r="G316" s="46"/>
      <c r="H316" s="46"/>
      <c r="I316" s="46"/>
      <c r="J316" s="46"/>
      <c r="K316" s="46"/>
      <c r="L316" s="46"/>
      <c r="M316" s="46"/>
      <c r="N316" s="46"/>
      <c r="O316" s="46"/>
    </row>
    <row r="317" ht="15.75" customHeight="1">
      <c r="G317" s="46"/>
      <c r="H317" s="46"/>
      <c r="I317" s="46"/>
      <c r="J317" s="46"/>
      <c r="K317" s="46"/>
      <c r="L317" s="46"/>
      <c r="M317" s="46"/>
      <c r="N317" s="46"/>
      <c r="O317" s="46"/>
    </row>
    <row r="318" ht="15.75" customHeight="1">
      <c r="G318" s="46"/>
      <c r="H318" s="46"/>
      <c r="I318" s="46"/>
      <c r="J318" s="46"/>
      <c r="K318" s="46"/>
      <c r="L318" s="46"/>
      <c r="M318" s="46"/>
      <c r="N318" s="46"/>
      <c r="O318" s="46"/>
    </row>
    <row r="319" ht="15.75" customHeight="1">
      <c r="G319" s="46"/>
      <c r="H319" s="46"/>
      <c r="I319" s="46"/>
      <c r="J319" s="46"/>
      <c r="K319" s="46"/>
      <c r="L319" s="46"/>
      <c r="M319" s="46"/>
      <c r="N319" s="46"/>
      <c r="O319" s="46"/>
    </row>
    <row r="320" ht="15.75" customHeight="1">
      <c r="G320" s="46"/>
      <c r="H320" s="46"/>
      <c r="I320" s="46"/>
      <c r="J320" s="46"/>
      <c r="K320" s="46"/>
      <c r="L320" s="46"/>
      <c r="M320" s="46"/>
      <c r="N320" s="46"/>
      <c r="O320" s="46"/>
    </row>
    <row r="321" ht="15.75" customHeight="1">
      <c r="G321" s="46"/>
      <c r="H321" s="46"/>
      <c r="I321" s="46"/>
      <c r="J321" s="46"/>
      <c r="K321" s="46"/>
      <c r="L321" s="46"/>
      <c r="M321" s="46"/>
      <c r="N321" s="46"/>
      <c r="O321" s="46"/>
    </row>
    <row r="322" ht="15.75" customHeight="1">
      <c r="G322" s="46"/>
      <c r="H322" s="46"/>
      <c r="I322" s="46"/>
      <c r="J322" s="46"/>
      <c r="K322" s="46"/>
      <c r="L322" s="46"/>
      <c r="M322" s="46"/>
      <c r="N322" s="46"/>
      <c r="O322" s="46"/>
    </row>
    <row r="323" ht="15.75" customHeight="1">
      <c r="G323" s="46"/>
      <c r="H323" s="46"/>
      <c r="I323" s="46"/>
      <c r="J323" s="46"/>
      <c r="K323" s="46"/>
      <c r="L323" s="46"/>
      <c r="M323" s="46"/>
      <c r="N323" s="46"/>
      <c r="O323" s="46"/>
    </row>
    <row r="324" ht="15.75" customHeight="1">
      <c r="G324" s="46"/>
      <c r="H324" s="46"/>
      <c r="I324" s="46"/>
      <c r="J324" s="46"/>
      <c r="K324" s="46"/>
      <c r="L324" s="46"/>
      <c r="M324" s="46"/>
      <c r="N324" s="46"/>
      <c r="O324" s="46"/>
    </row>
    <row r="325" ht="15.75" customHeight="1">
      <c r="G325" s="46"/>
      <c r="H325" s="46"/>
      <c r="I325" s="46"/>
      <c r="J325" s="46"/>
      <c r="K325" s="46"/>
      <c r="L325" s="46"/>
      <c r="M325" s="46"/>
      <c r="N325" s="46"/>
      <c r="O325" s="46"/>
    </row>
    <row r="326" ht="15.75" customHeight="1">
      <c r="G326" s="46"/>
      <c r="H326" s="46"/>
      <c r="I326" s="46"/>
      <c r="J326" s="46"/>
      <c r="K326" s="46"/>
      <c r="L326" s="46"/>
      <c r="M326" s="46"/>
      <c r="N326" s="46"/>
      <c r="O326" s="46"/>
    </row>
    <row r="327" ht="15.75" customHeight="1">
      <c r="G327" s="46"/>
      <c r="H327" s="46"/>
      <c r="I327" s="46"/>
      <c r="J327" s="46"/>
      <c r="K327" s="46"/>
      <c r="L327" s="46"/>
      <c r="M327" s="46"/>
      <c r="N327" s="46"/>
      <c r="O327" s="46"/>
    </row>
    <row r="328" ht="15.75" customHeight="1">
      <c r="G328" s="46"/>
      <c r="H328" s="46"/>
      <c r="I328" s="46"/>
      <c r="J328" s="46"/>
      <c r="K328" s="46"/>
      <c r="L328" s="46"/>
      <c r="M328" s="46"/>
      <c r="N328" s="46"/>
      <c r="O328" s="46"/>
    </row>
    <row r="329" ht="15.75" customHeight="1">
      <c r="G329" s="46"/>
      <c r="H329" s="46"/>
      <c r="I329" s="46"/>
      <c r="J329" s="46"/>
      <c r="K329" s="46"/>
      <c r="L329" s="46"/>
      <c r="M329" s="46"/>
      <c r="N329" s="46"/>
      <c r="O329" s="46"/>
    </row>
    <row r="330" ht="15.75" customHeight="1">
      <c r="G330" s="46"/>
      <c r="H330" s="46"/>
      <c r="I330" s="46"/>
      <c r="J330" s="46"/>
      <c r="K330" s="46"/>
      <c r="L330" s="46"/>
      <c r="M330" s="46"/>
      <c r="N330" s="46"/>
      <c r="O330" s="46"/>
    </row>
    <row r="331" ht="15.75" customHeight="1">
      <c r="G331" s="46"/>
      <c r="H331" s="46"/>
      <c r="I331" s="46"/>
      <c r="J331" s="46"/>
      <c r="K331" s="46"/>
      <c r="L331" s="46"/>
      <c r="M331" s="46"/>
      <c r="N331" s="46"/>
      <c r="O331" s="46"/>
    </row>
    <row r="332" ht="15.75" customHeight="1">
      <c r="G332" s="46"/>
      <c r="H332" s="46"/>
      <c r="I332" s="46"/>
      <c r="J332" s="46"/>
      <c r="K332" s="46"/>
      <c r="L332" s="46"/>
      <c r="M332" s="46"/>
      <c r="N332" s="46"/>
      <c r="O332" s="46"/>
    </row>
    <row r="333" ht="15.75" customHeight="1">
      <c r="G333" s="46"/>
      <c r="H333" s="46"/>
      <c r="I333" s="46"/>
      <c r="J333" s="46"/>
      <c r="K333" s="46"/>
      <c r="L333" s="46"/>
      <c r="M333" s="46"/>
      <c r="N333" s="46"/>
      <c r="O333" s="46"/>
    </row>
    <row r="334" ht="15.75" customHeight="1">
      <c r="G334" s="46"/>
      <c r="H334" s="46"/>
      <c r="I334" s="46"/>
      <c r="J334" s="46"/>
      <c r="K334" s="46"/>
      <c r="L334" s="46"/>
      <c r="M334" s="46"/>
      <c r="N334" s="46"/>
      <c r="O334" s="46"/>
    </row>
    <row r="335" ht="15.75" customHeight="1">
      <c r="G335" s="46"/>
      <c r="H335" s="46"/>
      <c r="I335" s="46"/>
      <c r="J335" s="46"/>
      <c r="K335" s="46"/>
      <c r="L335" s="46"/>
      <c r="M335" s="46"/>
      <c r="N335" s="46"/>
      <c r="O335" s="46"/>
    </row>
    <row r="336" ht="15.75" customHeight="1">
      <c r="G336" s="46"/>
      <c r="H336" s="46"/>
      <c r="I336" s="46"/>
      <c r="J336" s="46"/>
      <c r="K336" s="46"/>
      <c r="L336" s="46"/>
      <c r="M336" s="46"/>
      <c r="N336" s="46"/>
      <c r="O336" s="46"/>
    </row>
    <row r="337" ht="15.75" customHeight="1">
      <c r="G337" s="46"/>
      <c r="H337" s="46"/>
      <c r="I337" s="46"/>
      <c r="J337" s="46"/>
      <c r="K337" s="46"/>
      <c r="L337" s="46"/>
      <c r="M337" s="46"/>
      <c r="N337" s="46"/>
      <c r="O337" s="46"/>
    </row>
    <row r="338" ht="15.75" customHeight="1">
      <c r="G338" s="46"/>
      <c r="H338" s="46"/>
      <c r="I338" s="46"/>
      <c r="J338" s="46"/>
      <c r="K338" s="46"/>
      <c r="L338" s="46"/>
      <c r="M338" s="46"/>
      <c r="N338" s="46"/>
      <c r="O338" s="46"/>
    </row>
    <row r="339" ht="15.75" customHeight="1">
      <c r="G339" s="46"/>
      <c r="H339" s="46"/>
      <c r="I339" s="46"/>
      <c r="J339" s="46"/>
      <c r="K339" s="46"/>
      <c r="L339" s="46"/>
      <c r="M339" s="46"/>
      <c r="N339" s="46"/>
      <c r="O339" s="46"/>
    </row>
    <row r="340" ht="15.75" customHeight="1">
      <c r="G340" s="46"/>
      <c r="H340" s="46"/>
      <c r="I340" s="46"/>
      <c r="J340" s="46"/>
      <c r="K340" s="46"/>
      <c r="L340" s="46"/>
      <c r="M340" s="46"/>
      <c r="N340" s="46"/>
      <c r="O340" s="46"/>
    </row>
    <row r="341" ht="15.75" customHeight="1">
      <c r="G341" s="46"/>
      <c r="H341" s="46"/>
      <c r="I341" s="46"/>
      <c r="J341" s="46"/>
      <c r="K341" s="46"/>
      <c r="L341" s="46"/>
      <c r="M341" s="46"/>
      <c r="N341" s="46"/>
      <c r="O341" s="46"/>
    </row>
    <row r="342" ht="15.75" customHeight="1">
      <c r="G342" s="46"/>
      <c r="H342" s="46"/>
      <c r="I342" s="46"/>
      <c r="J342" s="46"/>
      <c r="K342" s="46"/>
      <c r="L342" s="46"/>
      <c r="M342" s="46"/>
      <c r="N342" s="46"/>
      <c r="O342" s="46"/>
    </row>
    <row r="343" ht="15.75" customHeight="1">
      <c r="G343" s="46"/>
      <c r="H343" s="46"/>
      <c r="I343" s="46"/>
      <c r="J343" s="46"/>
      <c r="K343" s="46"/>
      <c r="L343" s="46"/>
      <c r="M343" s="46"/>
      <c r="N343" s="46"/>
      <c r="O343" s="46"/>
    </row>
    <row r="344" ht="15.75" customHeight="1">
      <c r="G344" s="46"/>
      <c r="H344" s="46"/>
      <c r="I344" s="46"/>
      <c r="J344" s="46"/>
      <c r="K344" s="46"/>
      <c r="L344" s="46"/>
      <c r="M344" s="46"/>
      <c r="N344" s="46"/>
      <c r="O344" s="46"/>
    </row>
    <row r="345" ht="15.75" customHeight="1">
      <c r="G345" s="46"/>
      <c r="H345" s="46"/>
      <c r="I345" s="46"/>
      <c r="J345" s="46"/>
      <c r="K345" s="46"/>
      <c r="L345" s="46"/>
      <c r="M345" s="46"/>
      <c r="N345" s="46"/>
      <c r="O345" s="46"/>
    </row>
    <row r="346" ht="15.75" customHeight="1">
      <c r="G346" s="46"/>
      <c r="H346" s="46"/>
      <c r="I346" s="46"/>
      <c r="J346" s="46"/>
      <c r="K346" s="46"/>
      <c r="L346" s="46"/>
      <c r="M346" s="46"/>
      <c r="N346" s="46"/>
      <c r="O346" s="46"/>
    </row>
    <row r="347" ht="15.75" customHeight="1">
      <c r="G347" s="46"/>
      <c r="H347" s="46"/>
      <c r="I347" s="46"/>
      <c r="J347" s="46"/>
      <c r="K347" s="46"/>
      <c r="L347" s="46"/>
      <c r="M347" s="46"/>
      <c r="N347" s="46"/>
      <c r="O347" s="46"/>
    </row>
    <row r="348" ht="15.75" customHeight="1">
      <c r="G348" s="46"/>
      <c r="H348" s="46"/>
      <c r="I348" s="46"/>
      <c r="J348" s="46"/>
      <c r="K348" s="46"/>
      <c r="L348" s="46"/>
      <c r="M348" s="46"/>
      <c r="N348" s="46"/>
      <c r="O348" s="46"/>
    </row>
    <row r="349" ht="15.75" customHeight="1">
      <c r="G349" s="46"/>
      <c r="H349" s="46"/>
      <c r="I349" s="46"/>
      <c r="J349" s="46"/>
      <c r="K349" s="46"/>
      <c r="L349" s="46"/>
      <c r="M349" s="46"/>
      <c r="N349" s="46"/>
      <c r="O349" s="46"/>
    </row>
    <row r="350" ht="15.75" customHeight="1">
      <c r="G350" s="46"/>
      <c r="H350" s="46"/>
      <c r="I350" s="46"/>
      <c r="J350" s="46"/>
      <c r="K350" s="46"/>
      <c r="L350" s="46"/>
      <c r="M350" s="46"/>
      <c r="N350" s="46"/>
      <c r="O350" s="46"/>
    </row>
    <row r="351" ht="15.75" customHeight="1">
      <c r="G351" s="46"/>
      <c r="H351" s="46"/>
      <c r="I351" s="46"/>
      <c r="J351" s="46"/>
      <c r="K351" s="46"/>
      <c r="L351" s="46"/>
      <c r="M351" s="46"/>
      <c r="N351" s="46"/>
      <c r="O351" s="46"/>
    </row>
    <row r="352" ht="15.75" customHeight="1">
      <c r="G352" s="46"/>
      <c r="H352" s="46"/>
      <c r="I352" s="46"/>
      <c r="J352" s="46"/>
      <c r="K352" s="46"/>
      <c r="L352" s="46"/>
      <c r="M352" s="46"/>
      <c r="N352" s="46"/>
      <c r="O352" s="46"/>
    </row>
    <row r="353" ht="15.75" customHeight="1">
      <c r="G353" s="46"/>
      <c r="H353" s="46"/>
      <c r="I353" s="46"/>
      <c r="J353" s="46"/>
      <c r="K353" s="46"/>
      <c r="L353" s="46"/>
      <c r="M353" s="46"/>
      <c r="N353" s="46"/>
      <c r="O353" s="46"/>
    </row>
    <row r="354" ht="15.75" customHeight="1">
      <c r="G354" s="46"/>
      <c r="H354" s="46"/>
      <c r="I354" s="46"/>
      <c r="J354" s="46"/>
      <c r="K354" s="46"/>
      <c r="L354" s="46"/>
      <c r="M354" s="46"/>
      <c r="N354" s="46"/>
      <c r="O354" s="46"/>
    </row>
    <row r="355" ht="15.75" customHeight="1">
      <c r="G355" s="46"/>
      <c r="H355" s="46"/>
      <c r="I355" s="46"/>
      <c r="J355" s="46"/>
      <c r="K355" s="46"/>
      <c r="L355" s="46"/>
      <c r="M355" s="46"/>
      <c r="N355" s="46"/>
      <c r="O355" s="46"/>
    </row>
    <row r="356" ht="15.75" customHeight="1">
      <c r="G356" s="46"/>
      <c r="H356" s="46"/>
      <c r="I356" s="46"/>
      <c r="J356" s="46"/>
      <c r="K356" s="46"/>
      <c r="L356" s="46"/>
      <c r="M356" s="46"/>
      <c r="N356" s="46"/>
      <c r="O356" s="46"/>
    </row>
    <row r="357" ht="15.75" customHeight="1">
      <c r="G357" s="46"/>
      <c r="H357" s="46"/>
      <c r="I357" s="46"/>
      <c r="J357" s="46"/>
      <c r="K357" s="46"/>
      <c r="L357" s="46"/>
      <c r="M357" s="46"/>
      <c r="N357" s="46"/>
      <c r="O357" s="46"/>
    </row>
    <row r="358" ht="15.75" customHeight="1">
      <c r="G358" s="46"/>
      <c r="H358" s="46"/>
      <c r="I358" s="46"/>
      <c r="J358" s="46"/>
      <c r="K358" s="46"/>
      <c r="L358" s="46"/>
      <c r="M358" s="46"/>
      <c r="N358" s="46"/>
      <c r="O358" s="46"/>
    </row>
    <row r="359" ht="15.75" customHeight="1">
      <c r="G359" s="46"/>
      <c r="H359" s="46"/>
      <c r="I359" s="46"/>
      <c r="J359" s="46"/>
      <c r="K359" s="46"/>
      <c r="L359" s="46"/>
      <c r="M359" s="46"/>
      <c r="N359" s="46"/>
      <c r="O359" s="46"/>
    </row>
    <row r="360" ht="15.75" customHeight="1">
      <c r="G360" s="46"/>
      <c r="H360" s="46"/>
      <c r="I360" s="46"/>
      <c r="J360" s="46"/>
      <c r="K360" s="46"/>
      <c r="L360" s="46"/>
      <c r="M360" s="46"/>
      <c r="N360" s="46"/>
      <c r="O360" s="46"/>
    </row>
    <row r="361" ht="15.75" customHeight="1">
      <c r="G361" s="46"/>
      <c r="H361" s="46"/>
      <c r="I361" s="46"/>
      <c r="J361" s="46"/>
      <c r="K361" s="46"/>
      <c r="L361" s="46"/>
      <c r="M361" s="46"/>
      <c r="N361" s="46"/>
      <c r="O361" s="46"/>
    </row>
    <row r="362" ht="15.75" customHeight="1">
      <c r="G362" s="46"/>
      <c r="H362" s="46"/>
      <c r="I362" s="46"/>
      <c r="J362" s="46"/>
      <c r="K362" s="46"/>
      <c r="L362" s="46"/>
      <c r="M362" s="46"/>
      <c r="N362" s="46"/>
      <c r="O362" s="46"/>
    </row>
    <row r="363" ht="15.75" customHeight="1">
      <c r="G363" s="46"/>
      <c r="H363" s="46"/>
      <c r="I363" s="46"/>
      <c r="J363" s="46"/>
      <c r="K363" s="46"/>
      <c r="L363" s="46"/>
      <c r="M363" s="46"/>
      <c r="N363" s="46"/>
      <c r="O363" s="46"/>
    </row>
    <row r="364" ht="15.75" customHeight="1">
      <c r="G364" s="46"/>
      <c r="H364" s="46"/>
      <c r="I364" s="46"/>
      <c r="J364" s="46"/>
      <c r="K364" s="46"/>
      <c r="L364" s="46"/>
      <c r="M364" s="46"/>
      <c r="N364" s="46"/>
      <c r="O364" s="46"/>
    </row>
    <row r="365" ht="15.75" customHeight="1">
      <c r="G365" s="46"/>
      <c r="H365" s="46"/>
      <c r="I365" s="46"/>
      <c r="J365" s="46"/>
      <c r="K365" s="46"/>
      <c r="L365" s="46"/>
      <c r="M365" s="46"/>
      <c r="N365" s="46"/>
      <c r="O365" s="46"/>
    </row>
    <row r="366" ht="15.75" customHeight="1">
      <c r="G366" s="46"/>
      <c r="H366" s="46"/>
      <c r="I366" s="46"/>
      <c r="J366" s="46"/>
      <c r="K366" s="46"/>
      <c r="L366" s="46"/>
      <c r="M366" s="46"/>
      <c r="N366" s="46"/>
      <c r="O366" s="46"/>
    </row>
    <row r="367" ht="15.75" customHeight="1">
      <c r="G367" s="46"/>
      <c r="H367" s="46"/>
      <c r="I367" s="46"/>
      <c r="J367" s="46"/>
      <c r="K367" s="46"/>
      <c r="L367" s="46"/>
      <c r="M367" s="46"/>
      <c r="N367" s="46"/>
      <c r="O367" s="46"/>
    </row>
    <row r="368" ht="15.75" customHeight="1">
      <c r="G368" s="46"/>
      <c r="H368" s="46"/>
      <c r="I368" s="46"/>
      <c r="J368" s="46"/>
      <c r="K368" s="46"/>
      <c r="L368" s="46"/>
      <c r="M368" s="46"/>
      <c r="N368" s="46"/>
      <c r="O368" s="46"/>
    </row>
    <row r="369" ht="15.75" customHeight="1">
      <c r="G369" s="46"/>
      <c r="H369" s="46"/>
      <c r="I369" s="46"/>
      <c r="J369" s="46"/>
      <c r="K369" s="46"/>
      <c r="L369" s="46"/>
      <c r="M369" s="46"/>
      <c r="N369" s="46"/>
      <c r="O369" s="46"/>
    </row>
    <row r="370" ht="15.75" customHeight="1">
      <c r="G370" s="46"/>
      <c r="H370" s="46"/>
      <c r="I370" s="46"/>
      <c r="J370" s="46"/>
      <c r="K370" s="46"/>
      <c r="L370" s="46"/>
      <c r="M370" s="46"/>
      <c r="N370" s="46"/>
      <c r="O370" s="46"/>
    </row>
    <row r="371" ht="15.75" customHeight="1">
      <c r="G371" s="46"/>
      <c r="H371" s="46"/>
      <c r="I371" s="46"/>
      <c r="J371" s="46"/>
      <c r="K371" s="46"/>
      <c r="L371" s="46"/>
      <c r="M371" s="46"/>
      <c r="N371" s="46"/>
      <c r="O371" s="46"/>
    </row>
    <row r="372" ht="15.75" customHeight="1">
      <c r="G372" s="46"/>
      <c r="H372" s="46"/>
      <c r="I372" s="46"/>
      <c r="J372" s="46"/>
      <c r="K372" s="46"/>
      <c r="L372" s="46"/>
      <c r="M372" s="46"/>
      <c r="N372" s="46"/>
      <c r="O372" s="46"/>
    </row>
    <row r="373" ht="15.75" customHeight="1">
      <c r="G373" s="46"/>
      <c r="H373" s="46"/>
      <c r="I373" s="46"/>
      <c r="J373" s="46"/>
      <c r="K373" s="46"/>
      <c r="L373" s="46"/>
      <c r="M373" s="46"/>
      <c r="N373" s="46"/>
      <c r="O373" s="46"/>
    </row>
    <row r="374" ht="15.75" customHeight="1">
      <c r="G374" s="46"/>
      <c r="H374" s="46"/>
      <c r="I374" s="46"/>
      <c r="J374" s="46"/>
      <c r="K374" s="46"/>
      <c r="L374" s="46"/>
      <c r="M374" s="46"/>
      <c r="N374" s="46"/>
      <c r="O374" s="46"/>
    </row>
    <row r="375" ht="15.75" customHeight="1">
      <c r="G375" s="46"/>
      <c r="H375" s="46"/>
      <c r="I375" s="46"/>
      <c r="J375" s="46"/>
      <c r="K375" s="46"/>
      <c r="L375" s="46"/>
      <c r="M375" s="46"/>
      <c r="N375" s="46"/>
      <c r="O375" s="46"/>
    </row>
    <row r="376" ht="15.75" customHeight="1">
      <c r="G376" s="46"/>
      <c r="H376" s="46"/>
      <c r="I376" s="46"/>
      <c r="J376" s="46"/>
      <c r="K376" s="46"/>
      <c r="L376" s="46"/>
      <c r="M376" s="46"/>
      <c r="N376" s="46"/>
      <c r="O376" s="46"/>
    </row>
    <row r="377" ht="15.75" customHeight="1">
      <c r="G377" s="46"/>
      <c r="H377" s="46"/>
      <c r="I377" s="46"/>
      <c r="J377" s="46"/>
      <c r="K377" s="46"/>
      <c r="L377" s="46"/>
      <c r="M377" s="46"/>
      <c r="N377" s="46"/>
      <c r="O377" s="46"/>
    </row>
    <row r="378" ht="15.75" customHeight="1">
      <c r="G378" s="46"/>
      <c r="H378" s="46"/>
      <c r="I378" s="46"/>
      <c r="J378" s="46"/>
      <c r="K378" s="46"/>
      <c r="L378" s="46"/>
      <c r="M378" s="46"/>
      <c r="N378" s="46"/>
      <c r="O378" s="46"/>
    </row>
    <row r="379" ht="15.75" customHeight="1">
      <c r="G379" s="46"/>
      <c r="H379" s="46"/>
      <c r="I379" s="46"/>
      <c r="J379" s="46"/>
      <c r="K379" s="46"/>
      <c r="L379" s="46"/>
      <c r="M379" s="46"/>
      <c r="N379" s="46"/>
      <c r="O379" s="46"/>
    </row>
    <row r="380" ht="15.75" customHeight="1">
      <c r="G380" s="46"/>
      <c r="H380" s="46"/>
      <c r="I380" s="46"/>
      <c r="J380" s="46"/>
      <c r="K380" s="46"/>
      <c r="L380" s="46"/>
      <c r="M380" s="46"/>
      <c r="N380" s="46"/>
      <c r="O380" s="46"/>
    </row>
    <row r="381" ht="15.75" customHeight="1">
      <c r="G381" s="46"/>
      <c r="H381" s="46"/>
      <c r="I381" s="46"/>
      <c r="J381" s="46"/>
      <c r="K381" s="46"/>
      <c r="L381" s="46"/>
      <c r="M381" s="46"/>
      <c r="N381" s="46"/>
      <c r="O381" s="46"/>
    </row>
    <row r="382" ht="15.75" customHeight="1">
      <c r="G382" s="46"/>
      <c r="H382" s="46"/>
      <c r="I382" s="46"/>
      <c r="J382" s="46"/>
      <c r="K382" s="46"/>
      <c r="L382" s="46"/>
      <c r="M382" s="46"/>
      <c r="N382" s="46"/>
      <c r="O382" s="46"/>
    </row>
    <row r="383" ht="15.75" customHeight="1">
      <c r="G383" s="46"/>
      <c r="H383" s="46"/>
      <c r="I383" s="46"/>
      <c r="J383" s="46"/>
      <c r="K383" s="46"/>
      <c r="L383" s="46"/>
      <c r="M383" s="46"/>
      <c r="N383" s="46"/>
      <c r="O383" s="46"/>
    </row>
    <row r="384" ht="15.75" customHeight="1">
      <c r="G384" s="46"/>
      <c r="H384" s="46"/>
      <c r="I384" s="46"/>
      <c r="J384" s="46"/>
      <c r="K384" s="46"/>
      <c r="L384" s="46"/>
      <c r="M384" s="46"/>
      <c r="N384" s="46"/>
      <c r="O384" s="46"/>
    </row>
    <row r="385" ht="15.75" customHeight="1">
      <c r="G385" s="46"/>
      <c r="H385" s="46"/>
      <c r="I385" s="46"/>
      <c r="J385" s="46"/>
      <c r="K385" s="46"/>
      <c r="L385" s="46"/>
      <c r="M385" s="46"/>
      <c r="N385" s="46"/>
      <c r="O385" s="46"/>
    </row>
    <row r="386" ht="15.75" customHeight="1">
      <c r="G386" s="46"/>
      <c r="H386" s="46"/>
      <c r="I386" s="46"/>
      <c r="J386" s="46"/>
      <c r="K386" s="46"/>
      <c r="L386" s="46"/>
      <c r="M386" s="46"/>
      <c r="N386" s="46"/>
      <c r="O386" s="46"/>
    </row>
    <row r="387" ht="15.75" customHeight="1">
      <c r="G387" s="46"/>
      <c r="H387" s="46"/>
      <c r="I387" s="46"/>
      <c r="J387" s="46"/>
      <c r="K387" s="46"/>
      <c r="L387" s="46"/>
      <c r="M387" s="46"/>
      <c r="N387" s="46"/>
      <c r="O387" s="46"/>
    </row>
    <row r="388" ht="15.75" customHeight="1">
      <c r="G388" s="46"/>
      <c r="H388" s="46"/>
      <c r="I388" s="46"/>
      <c r="J388" s="46"/>
      <c r="K388" s="46"/>
      <c r="L388" s="46"/>
      <c r="M388" s="46"/>
      <c r="N388" s="46"/>
      <c r="O388" s="46"/>
    </row>
    <row r="389" ht="15.75" customHeight="1">
      <c r="G389" s="46"/>
      <c r="H389" s="46"/>
      <c r="I389" s="46"/>
      <c r="J389" s="46"/>
      <c r="K389" s="46"/>
      <c r="L389" s="46"/>
      <c r="M389" s="46"/>
      <c r="N389" s="46"/>
      <c r="O389" s="46"/>
    </row>
    <row r="390" ht="15.75" customHeight="1">
      <c r="G390" s="46"/>
      <c r="H390" s="46"/>
      <c r="I390" s="46"/>
      <c r="J390" s="46"/>
      <c r="K390" s="46"/>
      <c r="L390" s="46"/>
      <c r="M390" s="46"/>
      <c r="N390" s="46"/>
      <c r="O390" s="46"/>
    </row>
    <row r="391" ht="15.75" customHeight="1">
      <c r="G391" s="46"/>
      <c r="H391" s="46"/>
      <c r="I391" s="46"/>
      <c r="J391" s="46"/>
      <c r="K391" s="46"/>
      <c r="L391" s="46"/>
      <c r="M391" s="46"/>
      <c r="N391" s="46"/>
      <c r="O391" s="46"/>
    </row>
    <row r="392" ht="15.75" customHeight="1">
      <c r="G392" s="46"/>
      <c r="H392" s="46"/>
      <c r="I392" s="46"/>
      <c r="J392" s="46"/>
      <c r="K392" s="46"/>
      <c r="L392" s="46"/>
      <c r="M392" s="46"/>
      <c r="N392" s="46"/>
      <c r="O392" s="46"/>
    </row>
    <row r="393" ht="15.75" customHeight="1">
      <c r="G393" s="46"/>
      <c r="H393" s="46"/>
      <c r="I393" s="46"/>
      <c r="J393" s="46"/>
      <c r="K393" s="46"/>
      <c r="L393" s="46"/>
      <c r="M393" s="46"/>
      <c r="N393" s="46"/>
      <c r="O393" s="46"/>
    </row>
    <row r="394" ht="15.75" customHeight="1">
      <c r="G394" s="46"/>
      <c r="H394" s="46"/>
      <c r="I394" s="46"/>
      <c r="J394" s="46"/>
      <c r="K394" s="46"/>
      <c r="L394" s="46"/>
      <c r="M394" s="46"/>
      <c r="N394" s="46"/>
      <c r="O394" s="46"/>
    </row>
    <row r="395" ht="15.75" customHeight="1">
      <c r="G395" s="46"/>
      <c r="H395" s="46"/>
      <c r="I395" s="46"/>
      <c r="J395" s="46"/>
      <c r="K395" s="46"/>
      <c r="L395" s="46"/>
      <c r="M395" s="46"/>
      <c r="N395" s="46"/>
      <c r="O395" s="46"/>
    </row>
    <row r="396" ht="15.75" customHeight="1">
      <c r="G396" s="46"/>
      <c r="H396" s="46"/>
      <c r="I396" s="46"/>
      <c r="J396" s="46"/>
      <c r="K396" s="46"/>
      <c r="L396" s="46"/>
      <c r="M396" s="46"/>
      <c r="N396" s="46"/>
      <c r="O396" s="46"/>
    </row>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G2:G4"/>
    <mergeCell ref="H2:K2"/>
    <mergeCell ref="H3:I3"/>
    <mergeCell ref="J3:K3"/>
    <mergeCell ref="L2:N3"/>
    <mergeCell ref="O2:O4"/>
    <mergeCell ref="A5:O5"/>
    <mergeCell ref="A13:O13"/>
    <mergeCell ref="A66:O66"/>
    <mergeCell ref="A126:O126"/>
    <mergeCell ref="A186:O186"/>
    <mergeCell ref="B1:O1"/>
    <mergeCell ref="A2:A4"/>
    <mergeCell ref="B2:B4"/>
    <mergeCell ref="C2:C4"/>
    <mergeCell ref="D2:D4"/>
    <mergeCell ref="E2:E4"/>
    <mergeCell ref="F2:F4"/>
  </mergeCells>
  <conditionalFormatting sqref="G2:G4 G6:G12 G14:G65 G67:G125 G127:G185 G187:G1000">
    <cfRule type="containsText" dxfId="0" priority="1" operator="containsText" text="High">
      <formula>NOT(ISERROR(SEARCH(("High"),(G2))))</formula>
    </cfRule>
  </conditionalFormatting>
  <conditionalFormatting sqref="G2:G4 G6:G12 G14:G65 G67:G125 G127:G185 G187:G1000">
    <cfRule type="containsText" dxfId="0" priority="2" operator="containsText" text="Medium">
      <formula>NOT(ISERROR(SEARCH(("Medium"),(G2))))</formula>
    </cfRule>
  </conditionalFormatting>
  <conditionalFormatting sqref="G2:G4 G6:G12 G14:G65 G67:G125 G127:G185 G187:G1000">
    <cfRule type="containsText" dxfId="0" priority="3" operator="containsText" text="Low">
      <formula>NOT(ISERROR(SEARCH(("Low"),(G2))))</formula>
    </cfRule>
  </conditionalFormatting>
  <conditionalFormatting sqref="I6:I12 I14:I65 I67:I125 I127:I185 I187:I1000 K6:N12 K14:M65 K67:N125 K127:N185 K187:N196 N14:N64">
    <cfRule type="containsText" dxfId="0" priority="4" operator="containsText" text="OK">
      <formula>NOT(ISERROR(SEARCH(("OK"),(I6))))</formula>
    </cfRule>
  </conditionalFormatting>
  <conditionalFormatting sqref="I6:I12 I14:I65 I67:I125 I127:I185 I187:I1000 K6:N12 K14:M65 K67:N125 K127:N185 K187:N196 N14:N64">
    <cfRule type="containsText" dxfId="1" priority="5" operator="containsText" text="NA">
      <formula>NOT(ISERROR(SEARCH(("NA"),(I6))))</formula>
    </cfRule>
  </conditionalFormatting>
  <dataValidations>
    <dataValidation type="list" allowBlank="1" sqref="H6:H12 J6:J12 H14:H65 J14:J65 H67:H125 J67:J125 H127:H185 J127:J185 H187:H196 J187:J196">
      <formula1>"x,●"</formula1>
    </dataValidation>
    <dataValidation type="list" allowBlank="1" sqref="I6:I12 K6:M12 I14:I65 K14:M65 I67:I125 K67:M125 I127:I185 K127:M185 I187:I196 K187:M196">
      <formula1>"OK,NG,NA"</formula1>
    </dataValidation>
    <dataValidation type="list" allowBlank="1" showErrorMessage="1" sqref="G6:G12 G14:G65 G67:G125 G127:G185 G187:G196">
      <formula1>"High,Medium,Low"</formula1>
    </dataValidation>
  </dataValidations>
  <hyperlinks>
    <hyperlink r:id="rId1" ref="F6"/>
    <hyperlink r:id="rId2" ref="F14"/>
    <hyperlink r:id="rId3" ref="F15"/>
    <hyperlink r:id="rId4" location="slide=id.p22" ref="F16"/>
    <hyperlink r:id="rId5" ref="F67"/>
    <hyperlink r:id="rId6" location="slide=id.g33b0341dd9c_0_132" ref="F12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3.5"/>
    <col customWidth="1" min="2" max="4" width="33.13"/>
    <col customWidth="1" min="5" max="5" width="40.88"/>
    <col customWidth="1" min="6" max="6" width="38.75"/>
    <col customWidth="1" min="12" max="14" width="14.5"/>
  </cols>
  <sheetData>
    <row r="1" ht="15.75" customHeight="1">
      <c r="A1" s="23" t="s">
        <v>22</v>
      </c>
      <c r="B1" s="24" t="s">
        <v>528</v>
      </c>
      <c r="C1" s="16"/>
      <c r="D1" s="16"/>
      <c r="E1" s="16"/>
      <c r="F1" s="16"/>
      <c r="G1" s="16"/>
      <c r="H1" s="16"/>
      <c r="I1" s="16"/>
      <c r="J1" s="16"/>
      <c r="K1" s="16"/>
      <c r="L1" s="16"/>
      <c r="M1" s="16"/>
      <c r="N1" s="16"/>
      <c r="O1" s="17"/>
    </row>
    <row r="2" ht="15.75" customHeight="1">
      <c r="A2" s="25" t="s">
        <v>24</v>
      </c>
      <c r="B2" s="26" t="s">
        <v>25</v>
      </c>
      <c r="C2" s="26" t="s">
        <v>26</v>
      </c>
      <c r="D2" s="26" t="s">
        <v>27</v>
      </c>
      <c r="E2" s="26" t="s">
        <v>28</v>
      </c>
      <c r="F2" s="26" t="s">
        <v>29</v>
      </c>
      <c r="G2" s="27" t="s">
        <v>30</v>
      </c>
      <c r="H2" s="28" t="s">
        <v>31</v>
      </c>
      <c r="I2" s="5"/>
      <c r="J2" s="5"/>
      <c r="K2" s="6"/>
      <c r="L2" s="29" t="s">
        <v>32</v>
      </c>
      <c r="N2" s="30"/>
      <c r="O2" s="31" t="s">
        <v>33</v>
      </c>
    </row>
    <row r="3" ht="15.75" customHeight="1">
      <c r="A3" s="32"/>
      <c r="B3" s="30"/>
      <c r="C3" s="30"/>
      <c r="D3" s="30"/>
      <c r="E3" s="30"/>
      <c r="F3" s="30"/>
      <c r="G3" s="30"/>
      <c r="H3" s="28" t="s">
        <v>34</v>
      </c>
      <c r="I3" s="5"/>
      <c r="J3" s="33" t="s">
        <v>35</v>
      </c>
      <c r="K3" s="17"/>
      <c r="L3" s="5"/>
      <c r="M3" s="5"/>
      <c r="N3" s="6"/>
      <c r="O3" s="30"/>
    </row>
    <row r="4" ht="15.75" customHeight="1">
      <c r="A4" s="34"/>
      <c r="B4" s="6"/>
      <c r="C4" s="6"/>
      <c r="D4" s="6"/>
      <c r="E4" s="6"/>
      <c r="F4" s="6"/>
      <c r="G4" s="6"/>
      <c r="H4" s="35" t="s">
        <v>36</v>
      </c>
      <c r="I4" s="35" t="s">
        <v>37</v>
      </c>
      <c r="J4" s="35" t="s">
        <v>36</v>
      </c>
      <c r="K4" s="35" t="s">
        <v>37</v>
      </c>
      <c r="L4" s="36" t="s">
        <v>38</v>
      </c>
      <c r="M4" s="37" t="s">
        <v>39</v>
      </c>
      <c r="N4" s="37" t="s">
        <v>40</v>
      </c>
      <c r="O4" s="6"/>
    </row>
    <row r="5" ht="15.75" customHeight="1">
      <c r="A5" s="38" t="str">
        <f t="shared" ref="A5:A8" si="1">IF(F5&lt;&gt;"",""&amp;TEXT($B$1,"##")&amp;"_"&amp;(ROW()-4)-COUNTBLANK(F5:F$6),"")</f>
        <v>IT_1</v>
      </c>
      <c r="B5" s="39" t="s">
        <v>529</v>
      </c>
      <c r="C5" s="39" t="s">
        <v>530</v>
      </c>
      <c r="D5" s="39"/>
      <c r="E5" s="39" t="s">
        <v>531</v>
      </c>
      <c r="F5" s="39" t="s">
        <v>532</v>
      </c>
      <c r="G5" s="40" t="s">
        <v>45</v>
      </c>
      <c r="H5" s="41" t="s">
        <v>46</v>
      </c>
      <c r="I5" s="42"/>
      <c r="J5" s="41" t="s">
        <v>46</v>
      </c>
      <c r="K5" s="42"/>
      <c r="L5" s="42"/>
      <c r="M5" s="42"/>
      <c r="N5" s="42"/>
      <c r="O5" s="43"/>
    </row>
    <row r="6" ht="15.75" customHeight="1">
      <c r="A6" s="38" t="str">
        <f t="shared" si="1"/>
        <v>IT_2</v>
      </c>
      <c r="B6" s="39" t="s">
        <v>533</v>
      </c>
      <c r="C6" s="39" t="s">
        <v>534</v>
      </c>
      <c r="D6" s="39"/>
      <c r="E6" s="39" t="s">
        <v>535</v>
      </c>
      <c r="F6" s="39" t="s">
        <v>536</v>
      </c>
      <c r="G6" s="40" t="s">
        <v>45</v>
      </c>
      <c r="H6" s="41" t="s">
        <v>46</v>
      </c>
      <c r="I6" s="42"/>
      <c r="J6" s="41" t="s">
        <v>46</v>
      </c>
      <c r="K6" s="42"/>
      <c r="L6" s="42"/>
      <c r="M6" s="42"/>
      <c r="N6" s="42"/>
      <c r="O6" s="43"/>
    </row>
    <row r="7" ht="15.75" customHeight="1">
      <c r="A7" s="38" t="str">
        <f t="shared" si="1"/>
        <v>IT_3</v>
      </c>
      <c r="B7" s="39"/>
      <c r="C7" s="39"/>
      <c r="D7" s="39"/>
      <c r="E7" s="39" t="s">
        <v>537</v>
      </c>
      <c r="F7" s="39" t="s">
        <v>538</v>
      </c>
      <c r="G7" s="40" t="s">
        <v>45</v>
      </c>
      <c r="H7" s="41" t="s">
        <v>46</v>
      </c>
      <c r="I7" s="42"/>
      <c r="J7" s="41" t="s">
        <v>46</v>
      </c>
      <c r="K7" s="42"/>
      <c r="L7" s="42"/>
      <c r="M7" s="42"/>
      <c r="N7" s="42"/>
      <c r="O7" s="43"/>
    </row>
    <row r="8" ht="15.75" customHeight="1">
      <c r="A8" s="38" t="str">
        <f t="shared" si="1"/>
        <v>IT_4</v>
      </c>
      <c r="B8" s="39"/>
      <c r="C8" s="39"/>
      <c r="D8" s="39"/>
      <c r="E8" s="39" t="s">
        <v>539</v>
      </c>
      <c r="F8" s="39" t="s">
        <v>540</v>
      </c>
      <c r="G8" s="40" t="s">
        <v>45</v>
      </c>
      <c r="H8" s="41" t="s">
        <v>46</v>
      </c>
      <c r="I8" s="42"/>
      <c r="J8" s="41" t="s">
        <v>46</v>
      </c>
      <c r="K8" s="42"/>
      <c r="L8" s="42"/>
      <c r="M8" s="42"/>
      <c r="N8" s="42"/>
      <c r="O8" s="43"/>
    </row>
    <row r="9" ht="15.75" customHeight="1">
      <c r="E9" s="45"/>
      <c r="G9" s="46"/>
      <c r="H9" s="46"/>
      <c r="I9" s="46"/>
      <c r="J9" s="46"/>
      <c r="K9" s="46"/>
      <c r="L9" s="46"/>
      <c r="M9" s="46"/>
      <c r="N9" s="46"/>
      <c r="O9" s="46"/>
    </row>
    <row r="10" ht="15.75" customHeight="1">
      <c r="E10" s="45"/>
      <c r="G10" s="46"/>
      <c r="H10" s="46"/>
      <c r="I10" s="46"/>
      <c r="J10" s="46"/>
      <c r="K10" s="46"/>
      <c r="L10" s="46"/>
      <c r="M10" s="46"/>
      <c r="N10" s="46"/>
      <c r="O10" s="46"/>
    </row>
    <row r="11" ht="15.75" customHeight="1">
      <c r="E11" s="45"/>
      <c r="G11" s="46"/>
      <c r="H11" s="46"/>
      <c r="I11" s="46"/>
      <c r="J11" s="46"/>
      <c r="K11" s="46"/>
      <c r="L11" s="46"/>
      <c r="M11" s="46"/>
      <c r="N11" s="46"/>
      <c r="O11" s="46"/>
    </row>
    <row r="12" ht="15.75" customHeight="1">
      <c r="E12" s="45"/>
      <c r="G12" s="46"/>
      <c r="H12" s="46"/>
      <c r="I12" s="46"/>
      <c r="J12" s="46"/>
      <c r="K12" s="46"/>
      <c r="L12" s="46"/>
      <c r="M12" s="46"/>
      <c r="N12" s="46"/>
      <c r="O12" s="46"/>
    </row>
    <row r="13" ht="15.75" customHeight="1">
      <c r="E13" s="45"/>
      <c r="G13" s="46"/>
      <c r="H13" s="46"/>
      <c r="I13" s="46"/>
      <c r="J13" s="46"/>
      <c r="K13" s="46"/>
      <c r="L13" s="46"/>
      <c r="M13" s="46"/>
      <c r="N13" s="46"/>
      <c r="O13" s="46"/>
    </row>
    <row r="14" ht="15.75" customHeight="1">
      <c r="E14" s="45"/>
      <c r="G14" s="46"/>
      <c r="H14" s="46"/>
      <c r="I14" s="46"/>
      <c r="J14" s="46"/>
      <c r="K14" s="46"/>
      <c r="L14" s="46"/>
      <c r="M14" s="46"/>
      <c r="N14" s="46"/>
      <c r="O14" s="46"/>
    </row>
    <row r="15" ht="15.75" customHeight="1">
      <c r="E15" s="45"/>
      <c r="G15" s="46"/>
      <c r="H15" s="46"/>
      <c r="I15" s="46"/>
      <c r="J15" s="46"/>
      <c r="K15" s="46"/>
      <c r="L15" s="46"/>
      <c r="M15" s="46"/>
      <c r="N15" s="46"/>
      <c r="O15" s="46"/>
    </row>
    <row r="16" ht="15.75" customHeight="1">
      <c r="E16" s="45"/>
      <c r="G16" s="46"/>
      <c r="H16" s="46"/>
      <c r="I16" s="46"/>
      <c r="J16" s="46"/>
      <c r="K16" s="46"/>
      <c r="L16" s="46"/>
      <c r="M16" s="46"/>
      <c r="N16" s="46"/>
      <c r="O16" s="46"/>
    </row>
    <row r="17" ht="15.75" customHeight="1">
      <c r="E17" s="45"/>
      <c r="G17" s="46"/>
      <c r="H17" s="46"/>
      <c r="I17" s="46"/>
      <c r="J17" s="46"/>
      <c r="K17" s="46"/>
      <c r="L17" s="46"/>
      <c r="M17" s="46"/>
      <c r="N17" s="46"/>
      <c r="O17" s="46"/>
    </row>
    <row r="18" ht="15.75" customHeight="1">
      <c r="E18" s="45"/>
      <c r="G18" s="46"/>
      <c r="H18" s="46"/>
      <c r="I18" s="46"/>
      <c r="J18" s="46"/>
      <c r="K18" s="46"/>
      <c r="L18" s="46"/>
      <c r="M18" s="46"/>
      <c r="N18" s="46"/>
      <c r="O18" s="46"/>
    </row>
    <row r="19" ht="15.75" customHeight="1">
      <c r="E19" s="45"/>
      <c r="G19" s="46"/>
      <c r="H19" s="46"/>
      <c r="I19" s="46"/>
      <c r="J19" s="46"/>
      <c r="K19" s="46"/>
      <c r="L19" s="46"/>
      <c r="M19" s="46"/>
      <c r="N19" s="46"/>
      <c r="O19" s="46"/>
    </row>
    <row r="20" ht="15.75" customHeight="1">
      <c r="E20" s="45"/>
      <c r="G20" s="46"/>
      <c r="H20" s="46"/>
      <c r="I20" s="46"/>
      <c r="J20" s="46"/>
      <c r="K20" s="46"/>
      <c r="L20" s="46"/>
      <c r="M20" s="46"/>
      <c r="N20" s="46"/>
      <c r="O20" s="46"/>
    </row>
    <row r="21" ht="15.75" customHeight="1">
      <c r="E21" s="45"/>
      <c r="G21" s="46"/>
      <c r="H21" s="46"/>
      <c r="I21" s="46"/>
      <c r="J21" s="46"/>
      <c r="K21" s="46"/>
      <c r="L21" s="46"/>
      <c r="M21" s="46"/>
      <c r="N21" s="46"/>
      <c r="O21" s="46"/>
    </row>
    <row r="22" ht="15.75" customHeight="1">
      <c r="E22" s="45"/>
      <c r="G22" s="46"/>
      <c r="H22" s="46"/>
      <c r="I22" s="46"/>
      <c r="J22" s="46"/>
      <c r="K22" s="46"/>
      <c r="L22" s="46"/>
      <c r="M22" s="46"/>
      <c r="N22" s="46"/>
      <c r="O22" s="46"/>
    </row>
    <row r="23" ht="15.75" customHeight="1">
      <c r="E23" s="45"/>
      <c r="G23" s="46"/>
      <c r="H23" s="46"/>
      <c r="I23" s="46"/>
      <c r="J23" s="46"/>
      <c r="K23" s="46"/>
      <c r="L23" s="46"/>
      <c r="M23" s="46"/>
      <c r="N23" s="46"/>
      <c r="O23" s="46"/>
    </row>
    <row r="24" ht="15.75" customHeight="1">
      <c r="E24" s="45"/>
      <c r="G24" s="46"/>
      <c r="H24" s="46"/>
      <c r="I24" s="46"/>
      <c r="J24" s="46"/>
      <c r="K24" s="46"/>
      <c r="L24" s="46"/>
      <c r="M24" s="46"/>
      <c r="N24" s="46"/>
      <c r="O24" s="46"/>
    </row>
    <row r="25" ht="15.75" customHeight="1">
      <c r="E25" s="45"/>
      <c r="G25" s="46"/>
      <c r="H25" s="46"/>
      <c r="I25" s="46"/>
      <c r="J25" s="46"/>
      <c r="K25" s="46"/>
      <c r="L25" s="46"/>
      <c r="M25" s="46"/>
      <c r="N25" s="46"/>
      <c r="O25" s="46"/>
    </row>
    <row r="26" ht="15.75" customHeight="1">
      <c r="E26" s="45"/>
      <c r="G26" s="46"/>
      <c r="H26" s="46"/>
      <c r="I26" s="46"/>
      <c r="J26" s="46"/>
      <c r="K26" s="46"/>
      <c r="L26" s="46"/>
      <c r="M26" s="46"/>
      <c r="N26" s="46"/>
      <c r="O26" s="46"/>
    </row>
    <row r="27" ht="15.75" customHeight="1">
      <c r="E27" s="45"/>
      <c r="G27" s="46"/>
      <c r="H27" s="46"/>
      <c r="I27" s="46"/>
      <c r="J27" s="46"/>
      <c r="K27" s="46"/>
      <c r="L27" s="46"/>
      <c r="M27" s="46"/>
      <c r="N27" s="46"/>
      <c r="O27" s="46"/>
    </row>
    <row r="28" ht="15.75" customHeight="1">
      <c r="E28" s="45"/>
      <c r="G28" s="46"/>
      <c r="H28" s="46"/>
      <c r="I28" s="46"/>
      <c r="J28" s="46"/>
      <c r="K28" s="46"/>
      <c r="L28" s="46"/>
      <c r="M28" s="46"/>
      <c r="N28" s="46"/>
      <c r="O28" s="46"/>
    </row>
    <row r="29" ht="15.75" customHeight="1">
      <c r="E29" s="45"/>
      <c r="G29" s="46"/>
      <c r="H29" s="46"/>
      <c r="I29" s="46"/>
      <c r="J29" s="46"/>
      <c r="K29" s="46"/>
      <c r="L29" s="46"/>
      <c r="M29" s="46"/>
      <c r="N29" s="46"/>
      <c r="O29" s="46"/>
    </row>
    <row r="30" ht="15.75" customHeight="1">
      <c r="E30" s="45"/>
      <c r="G30" s="46"/>
      <c r="H30" s="46"/>
      <c r="I30" s="46"/>
      <c r="J30" s="46"/>
      <c r="K30" s="46"/>
      <c r="L30" s="46"/>
      <c r="M30" s="46"/>
      <c r="N30" s="46"/>
      <c r="O30" s="46"/>
    </row>
    <row r="31" ht="15.75" customHeight="1">
      <c r="E31" s="45"/>
      <c r="G31" s="46"/>
      <c r="H31" s="46"/>
      <c r="I31" s="46"/>
      <c r="J31" s="46"/>
      <c r="K31" s="46"/>
      <c r="L31" s="46"/>
      <c r="M31" s="46"/>
      <c r="N31" s="46"/>
      <c r="O31" s="46"/>
    </row>
    <row r="32" ht="15.75" customHeight="1">
      <c r="E32" s="45"/>
      <c r="G32" s="46"/>
      <c r="H32" s="46"/>
      <c r="I32" s="46"/>
      <c r="J32" s="46"/>
      <c r="K32" s="46"/>
      <c r="L32" s="46"/>
      <c r="M32" s="46"/>
      <c r="N32" s="46"/>
      <c r="O32" s="46"/>
    </row>
    <row r="33" ht="15.75" customHeight="1">
      <c r="E33" s="45"/>
      <c r="G33" s="46"/>
      <c r="H33" s="46"/>
      <c r="I33" s="46"/>
      <c r="J33" s="46"/>
      <c r="K33" s="46"/>
      <c r="L33" s="46"/>
      <c r="M33" s="46"/>
      <c r="N33" s="46"/>
      <c r="O33" s="46"/>
    </row>
    <row r="34" ht="15.75" customHeight="1">
      <c r="E34" s="45"/>
      <c r="G34" s="46"/>
      <c r="H34" s="46"/>
      <c r="I34" s="46"/>
      <c r="J34" s="46"/>
      <c r="K34" s="46"/>
      <c r="L34" s="46"/>
      <c r="M34" s="46"/>
      <c r="N34" s="46"/>
      <c r="O34" s="46"/>
    </row>
    <row r="35" ht="15.75" customHeight="1">
      <c r="E35" s="45"/>
      <c r="G35" s="46"/>
      <c r="H35" s="46"/>
      <c r="I35" s="46"/>
      <c r="J35" s="46"/>
      <c r="K35" s="46"/>
      <c r="L35" s="46"/>
      <c r="M35" s="46"/>
      <c r="N35" s="46"/>
      <c r="O35" s="46"/>
    </row>
    <row r="36" ht="15.75" customHeight="1">
      <c r="E36" s="45"/>
      <c r="G36" s="46"/>
      <c r="H36" s="46"/>
      <c r="I36" s="46"/>
      <c r="J36" s="46"/>
      <c r="K36" s="46"/>
      <c r="L36" s="46"/>
      <c r="M36" s="46"/>
      <c r="N36" s="46"/>
      <c r="O36" s="46"/>
    </row>
    <row r="37" ht="15.75" customHeight="1">
      <c r="E37" s="45"/>
      <c r="G37" s="46"/>
      <c r="H37" s="46"/>
      <c r="I37" s="46"/>
      <c r="J37" s="46"/>
      <c r="K37" s="46"/>
      <c r="L37" s="46"/>
      <c r="M37" s="46"/>
      <c r="N37" s="46"/>
      <c r="O37" s="46"/>
    </row>
    <row r="38" ht="15.75" customHeight="1">
      <c r="E38" s="45"/>
      <c r="G38" s="46"/>
      <c r="H38" s="46"/>
      <c r="I38" s="46"/>
      <c r="J38" s="46"/>
      <c r="K38" s="46"/>
      <c r="L38" s="46"/>
      <c r="M38" s="46"/>
      <c r="N38" s="46"/>
      <c r="O38" s="46"/>
    </row>
    <row r="39" ht="15.75" customHeight="1">
      <c r="E39" s="45"/>
      <c r="G39" s="46"/>
      <c r="H39" s="46"/>
      <c r="I39" s="46"/>
      <c r="J39" s="46"/>
      <c r="K39" s="46"/>
      <c r="L39" s="46"/>
      <c r="M39" s="46"/>
      <c r="N39" s="46"/>
      <c r="O39" s="46"/>
    </row>
    <row r="40" ht="15.75" customHeight="1">
      <c r="E40" s="45"/>
      <c r="G40" s="46"/>
      <c r="H40" s="46"/>
      <c r="I40" s="46"/>
      <c r="J40" s="46"/>
      <c r="K40" s="46"/>
      <c r="L40" s="46"/>
      <c r="M40" s="46"/>
      <c r="N40" s="46"/>
      <c r="O40" s="46"/>
    </row>
    <row r="41" ht="15.75" customHeight="1">
      <c r="E41" s="45"/>
      <c r="G41" s="46"/>
      <c r="H41" s="46"/>
      <c r="I41" s="46"/>
      <c r="J41" s="46"/>
      <c r="K41" s="46"/>
      <c r="L41" s="46"/>
      <c r="M41" s="46"/>
      <c r="N41" s="46"/>
      <c r="O41" s="46"/>
    </row>
    <row r="42" ht="15.75" customHeight="1">
      <c r="E42" s="45"/>
      <c r="G42" s="46"/>
      <c r="H42" s="46"/>
      <c r="I42" s="46"/>
      <c r="J42" s="46"/>
      <c r="K42" s="46"/>
      <c r="L42" s="46"/>
      <c r="M42" s="46"/>
      <c r="N42" s="46"/>
      <c r="O42" s="46"/>
    </row>
    <row r="43" ht="15.75" customHeight="1">
      <c r="E43" s="45"/>
      <c r="G43" s="46"/>
      <c r="H43" s="46"/>
      <c r="I43" s="46"/>
      <c r="J43" s="46"/>
      <c r="K43" s="46"/>
      <c r="L43" s="46"/>
      <c r="M43" s="46"/>
      <c r="N43" s="46"/>
      <c r="O43" s="46"/>
    </row>
    <row r="44" ht="15.75" customHeight="1">
      <c r="E44" s="45"/>
      <c r="G44" s="46"/>
      <c r="H44" s="46"/>
      <c r="I44" s="46"/>
      <c r="J44" s="46"/>
      <c r="K44" s="46"/>
      <c r="L44" s="46"/>
      <c r="M44" s="46"/>
      <c r="N44" s="46"/>
      <c r="O44" s="46"/>
    </row>
    <row r="45" ht="15.75" customHeight="1">
      <c r="E45" s="45"/>
      <c r="G45" s="46"/>
      <c r="H45" s="46"/>
      <c r="I45" s="46"/>
      <c r="J45" s="46"/>
      <c r="K45" s="46"/>
      <c r="L45" s="46"/>
      <c r="M45" s="46"/>
      <c r="N45" s="46"/>
      <c r="O45" s="46"/>
    </row>
    <row r="46" ht="15.75" customHeight="1">
      <c r="E46" s="45"/>
      <c r="G46" s="46"/>
      <c r="H46" s="46"/>
      <c r="I46" s="46"/>
      <c r="J46" s="46"/>
      <c r="K46" s="46"/>
      <c r="L46" s="46"/>
      <c r="M46" s="46"/>
      <c r="N46" s="46"/>
      <c r="O46" s="46"/>
    </row>
    <row r="47" ht="15.75" customHeight="1">
      <c r="E47" s="45"/>
      <c r="G47" s="46"/>
      <c r="H47" s="46"/>
      <c r="I47" s="46"/>
      <c r="J47" s="46"/>
      <c r="K47" s="46"/>
      <c r="L47" s="46"/>
      <c r="M47" s="46"/>
      <c r="N47" s="46"/>
      <c r="O47" s="46"/>
    </row>
    <row r="48" ht="15.75" customHeight="1">
      <c r="E48" s="45"/>
      <c r="G48" s="46"/>
      <c r="H48" s="46"/>
      <c r="I48" s="46"/>
      <c r="J48" s="46"/>
      <c r="K48" s="46"/>
      <c r="L48" s="46"/>
      <c r="M48" s="46"/>
      <c r="N48" s="46"/>
      <c r="O48" s="46"/>
    </row>
    <row r="49" ht="15.75" customHeight="1">
      <c r="E49" s="45"/>
      <c r="G49" s="46"/>
      <c r="H49" s="46"/>
      <c r="I49" s="46"/>
      <c r="J49" s="46"/>
      <c r="K49" s="46"/>
      <c r="L49" s="46"/>
      <c r="M49" s="46"/>
      <c r="N49" s="46"/>
      <c r="O49" s="46"/>
    </row>
    <row r="50" ht="15.75" customHeight="1">
      <c r="E50" s="45"/>
      <c r="G50" s="46"/>
      <c r="H50" s="46"/>
      <c r="I50" s="46"/>
      <c r="J50" s="46"/>
      <c r="K50" s="46"/>
      <c r="L50" s="46"/>
      <c r="M50" s="46"/>
      <c r="N50" s="46"/>
      <c r="O50" s="46"/>
    </row>
    <row r="51" ht="15.75" customHeight="1">
      <c r="E51" s="45"/>
      <c r="G51" s="46"/>
      <c r="H51" s="46"/>
      <c r="I51" s="46"/>
      <c r="J51" s="46"/>
      <c r="K51" s="46"/>
      <c r="L51" s="46"/>
      <c r="M51" s="46"/>
      <c r="N51" s="46"/>
      <c r="O51" s="46"/>
    </row>
    <row r="52" ht="15.75" customHeight="1">
      <c r="E52" s="45"/>
      <c r="G52" s="46"/>
      <c r="H52" s="46"/>
      <c r="I52" s="46"/>
      <c r="J52" s="46"/>
      <c r="K52" s="46"/>
      <c r="L52" s="46"/>
      <c r="M52" s="46"/>
      <c r="N52" s="46"/>
      <c r="O52" s="46"/>
    </row>
    <row r="53" ht="15.75" customHeight="1">
      <c r="E53" s="45"/>
      <c r="G53" s="46"/>
      <c r="H53" s="46"/>
      <c r="I53" s="46"/>
      <c r="J53" s="46"/>
      <c r="K53" s="46"/>
      <c r="L53" s="46"/>
      <c r="M53" s="46"/>
      <c r="N53" s="46"/>
      <c r="O53" s="46"/>
    </row>
    <row r="54" ht="15.75" customHeight="1">
      <c r="E54" s="45"/>
      <c r="G54" s="46"/>
      <c r="H54" s="46"/>
      <c r="I54" s="46"/>
      <c r="J54" s="46"/>
      <c r="K54" s="46"/>
      <c r="L54" s="46"/>
      <c r="M54" s="46"/>
      <c r="N54" s="46"/>
      <c r="O54" s="46"/>
    </row>
    <row r="55" ht="15.75" customHeight="1">
      <c r="E55" s="45"/>
      <c r="G55" s="46"/>
      <c r="H55" s="46"/>
      <c r="I55" s="46"/>
      <c r="J55" s="46"/>
      <c r="K55" s="46"/>
      <c r="L55" s="46"/>
      <c r="M55" s="46"/>
      <c r="N55" s="46"/>
      <c r="O55" s="46"/>
    </row>
    <row r="56" ht="15.75" customHeight="1">
      <c r="E56" s="45"/>
      <c r="G56" s="46"/>
      <c r="H56" s="46"/>
      <c r="I56" s="46"/>
      <c r="J56" s="46"/>
      <c r="K56" s="46"/>
      <c r="L56" s="46"/>
      <c r="M56" s="46"/>
      <c r="N56" s="46"/>
      <c r="O56" s="46"/>
    </row>
    <row r="57" ht="15.75" customHeight="1">
      <c r="E57" s="45"/>
      <c r="G57" s="46"/>
      <c r="H57" s="46"/>
      <c r="I57" s="46"/>
      <c r="J57" s="46"/>
      <c r="K57" s="46"/>
      <c r="L57" s="46"/>
      <c r="M57" s="46"/>
      <c r="N57" s="46"/>
      <c r="O57" s="46"/>
    </row>
    <row r="58" ht="15.75" customHeight="1">
      <c r="E58" s="45"/>
      <c r="G58" s="46"/>
      <c r="H58" s="46"/>
      <c r="I58" s="46"/>
      <c r="J58" s="46"/>
      <c r="K58" s="46"/>
      <c r="L58" s="46"/>
      <c r="M58" s="46"/>
      <c r="N58" s="46"/>
      <c r="O58" s="46"/>
    </row>
    <row r="59" ht="15.75" customHeight="1">
      <c r="E59" s="45"/>
      <c r="G59" s="46"/>
      <c r="H59" s="46"/>
      <c r="I59" s="46"/>
      <c r="J59" s="46"/>
      <c r="K59" s="46"/>
      <c r="L59" s="46"/>
      <c r="M59" s="46"/>
      <c r="N59" s="46"/>
      <c r="O59" s="46"/>
    </row>
    <row r="60" ht="15.75" customHeight="1">
      <c r="E60" s="45"/>
      <c r="G60" s="46"/>
      <c r="H60" s="46"/>
      <c r="I60" s="46"/>
      <c r="J60" s="46"/>
      <c r="K60" s="46"/>
      <c r="L60" s="46"/>
      <c r="M60" s="46"/>
      <c r="N60" s="46"/>
      <c r="O60" s="46"/>
    </row>
    <row r="61" ht="15.75" customHeight="1">
      <c r="E61" s="45"/>
      <c r="G61" s="46"/>
      <c r="H61" s="46"/>
      <c r="I61" s="46"/>
      <c r="J61" s="46"/>
      <c r="K61" s="46"/>
      <c r="L61" s="46"/>
      <c r="M61" s="46"/>
      <c r="N61" s="46"/>
      <c r="O61" s="46"/>
    </row>
    <row r="62" ht="15.75" customHeight="1">
      <c r="E62" s="45"/>
      <c r="G62" s="46"/>
      <c r="H62" s="46"/>
      <c r="I62" s="46"/>
      <c r="J62" s="46"/>
      <c r="K62" s="46"/>
      <c r="L62" s="46"/>
      <c r="M62" s="46"/>
      <c r="N62" s="46"/>
      <c r="O62" s="46"/>
    </row>
    <row r="63" ht="15.75" customHeight="1">
      <c r="E63" s="45"/>
      <c r="G63" s="46"/>
      <c r="H63" s="46"/>
      <c r="I63" s="46"/>
      <c r="J63" s="46"/>
      <c r="K63" s="46"/>
      <c r="L63" s="46"/>
      <c r="M63" s="46"/>
      <c r="N63" s="46"/>
      <c r="O63" s="46"/>
    </row>
    <row r="64" ht="15.75" customHeight="1">
      <c r="E64" s="45"/>
      <c r="G64" s="46"/>
      <c r="H64" s="46"/>
      <c r="I64" s="46"/>
      <c r="J64" s="46"/>
      <c r="K64" s="46"/>
      <c r="L64" s="46"/>
      <c r="M64" s="46"/>
      <c r="N64" s="46"/>
      <c r="O64" s="46"/>
    </row>
    <row r="65" ht="15.75" customHeight="1">
      <c r="E65" s="45"/>
      <c r="G65" s="46"/>
      <c r="H65" s="46"/>
      <c r="I65" s="46"/>
      <c r="J65" s="46"/>
      <c r="K65" s="46"/>
      <c r="L65" s="46"/>
      <c r="M65" s="46"/>
      <c r="N65" s="46"/>
      <c r="O65" s="46"/>
    </row>
    <row r="66" ht="15.75" customHeight="1">
      <c r="E66" s="45"/>
      <c r="G66" s="46"/>
      <c r="H66" s="46"/>
      <c r="I66" s="46"/>
      <c r="J66" s="46"/>
      <c r="K66" s="46"/>
      <c r="L66" s="46"/>
      <c r="M66" s="46"/>
      <c r="N66" s="46"/>
      <c r="O66" s="46"/>
    </row>
    <row r="67" ht="15.75" customHeight="1">
      <c r="E67" s="45"/>
      <c r="G67" s="46"/>
      <c r="H67" s="46"/>
      <c r="I67" s="46"/>
      <c r="J67" s="46"/>
      <c r="K67" s="46"/>
      <c r="L67" s="46"/>
      <c r="M67" s="46"/>
      <c r="N67" s="46"/>
      <c r="O67" s="46"/>
    </row>
    <row r="68" ht="15.75" customHeight="1">
      <c r="E68" s="45"/>
      <c r="G68" s="46"/>
      <c r="H68" s="46"/>
      <c r="I68" s="46"/>
      <c r="J68" s="46"/>
      <c r="K68" s="46"/>
      <c r="L68" s="46"/>
      <c r="M68" s="46"/>
      <c r="N68" s="46"/>
      <c r="O68" s="46"/>
    </row>
    <row r="69" ht="15.75" customHeight="1">
      <c r="E69" s="45"/>
      <c r="G69" s="46"/>
      <c r="H69" s="46"/>
      <c r="I69" s="46"/>
      <c r="J69" s="46"/>
      <c r="K69" s="46"/>
      <c r="L69" s="46"/>
      <c r="M69" s="46"/>
      <c r="N69" s="46"/>
      <c r="O69" s="46"/>
    </row>
    <row r="70" ht="15.75" customHeight="1">
      <c r="E70" s="45"/>
      <c r="G70" s="46"/>
      <c r="H70" s="46"/>
      <c r="I70" s="46"/>
      <c r="J70" s="46"/>
      <c r="K70" s="46"/>
      <c r="L70" s="46"/>
      <c r="M70" s="46"/>
      <c r="N70" s="46"/>
      <c r="O70" s="46"/>
    </row>
    <row r="71" ht="15.75" customHeight="1">
      <c r="E71" s="45"/>
      <c r="G71" s="46"/>
      <c r="H71" s="46"/>
      <c r="I71" s="46"/>
      <c r="J71" s="46"/>
      <c r="K71" s="46"/>
      <c r="L71" s="46"/>
      <c r="M71" s="46"/>
      <c r="N71" s="46"/>
      <c r="O71" s="46"/>
    </row>
    <row r="72" ht="15.75" customHeight="1">
      <c r="E72" s="45"/>
      <c r="G72" s="46"/>
      <c r="H72" s="46"/>
      <c r="I72" s="46"/>
      <c r="J72" s="46"/>
      <c r="K72" s="46"/>
      <c r="L72" s="46"/>
      <c r="M72" s="46"/>
      <c r="N72" s="46"/>
      <c r="O72" s="46"/>
    </row>
    <row r="73" ht="15.75" customHeight="1">
      <c r="E73" s="45"/>
      <c r="G73" s="46"/>
      <c r="H73" s="46"/>
      <c r="I73" s="46"/>
      <c r="J73" s="46"/>
      <c r="K73" s="46"/>
      <c r="L73" s="46"/>
      <c r="M73" s="46"/>
      <c r="N73" s="46"/>
      <c r="O73" s="46"/>
    </row>
    <row r="74" ht="15.75" customHeight="1">
      <c r="E74" s="45"/>
      <c r="G74" s="46"/>
      <c r="H74" s="46"/>
      <c r="I74" s="46"/>
      <c r="J74" s="46"/>
      <c r="K74" s="46"/>
      <c r="L74" s="46"/>
      <c r="M74" s="46"/>
      <c r="N74" s="46"/>
      <c r="O74" s="46"/>
    </row>
    <row r="75" ht="15.75" customHeight="1">
      <c r="E75" s="45"/>
      <c r="G75" s="46"/>
      <c r="H75" s="46"/>
      <c r="I75" s="46"/>
      <c r="J75" s="46"/>
      <c r="K75" s="46"/>
      <c r="L75" s="46"/>
      <c r="M75" s="46"/>
      <c r="N75" s="46"/>
      <c r="O75" s="46"/>
    </row>
    <row r="76" ht="15.75" customHeight="1">
      <c r="E76" s="45"/>
      <c r="G76" s="46"/>
      <c r="H76" s="46"/>
      <c r="I76" s="46"/>
      <c r="J76" s="46"/>
      <c r="K76" s="46"/>
      <c r="L76" s="46"/>
      <c r="M76" s="46"/>
      <c r="N76" s="46"/>
      <c r="O76" s="46"/>
    </row>
    <row r="77" ht="15.75" customHeight="1">
      <c r="E77" s="45"/>
      <c r="G77" s="46"/>
      <c r="H77" s="46"/>
      <c r="I77" s="46"/>
      <c r="J77" s="46"/>
      <c r="K77" s="46"/>
      <c r="L77" s="46"/>
      <c r="M77" s="46"/>
      <c r="N77" s="46"/>
      <c r="O77" s="46"/>
    </row>
    <row r="78" ht="15.75" customHeight="1">
      <c r="E78" s="45"/>
      <c r="G78" s="46"/>
      <c r="H78" s="46"/>
      <c r="I78" s="46"/>
      <c r="J78" s="46"/>
      <c r="K78" s="46"/>
      <c r="L78" s="46"/>
      <c r="M78" s="46"/>
      <c r="N78" s="46"/>
      <c r="O78" s="46"/>
    </row>
    <row r="79" ht="15.75" customHeight="1">
      <c r="E79" s="45"/>
      <c r="G79" s="46"/>
      <c r="H79" s="46"/>
      <c r="I79" s="46"/>
      <c r="J79" s="46"/>
      <c r="K79" s="46"/>
      <c r="L79" s="46"/>
      <c r="M79" s="46"/>
      <c r="N79" s="46"/>
      <c r="O79" s="46"/>
    </row>
    <row r="80" ht="15.75" customHeight="1">
      <c r="E80" s="45"/>
      <c r="G80" s="46"/>
      <c r="H80" s="46"/>
      <c r="I80" s="46"/>
      <c r="J80" s="46"/>
      <c r="K80" s="46"/>
      <c r="L80" s="46"/>
      <c r="M80" s="46"/>
      <c r="N80" s="46"/>
      <c r="O80" s="46"/>
    </row>
    <row r="81" ht="15.75" customHeight="1">
      <c r="E81" s="45"/>
      <c r="G81" s="46"/>
      <c r="H81" s="46"/>
      <c r="I81" s="46"/>
      <c r="J81" s="46"/>
      <c r="K81" s="46"/>
      <c r="L81" s="46"/>
      <c r="M81" s="46"/>
      <c r="N81" s="46"/>
      <c r="O81" s="46"/>
    </row>
    <row r="82" ht="15.75" customHeight="1">
      <c r="E82" s="45"/>
      <c r="G82" s="46"/>
      <c r="H82" s="46"/>
      <c r="I82" s="46"/>
      <c r="J82" s="46"/>
      <c r="K82" s="46"/>
      <c r="L82" s="46"/>
      <c r="M82" s="46"/>
      <c r="N82" s="46"/>
      <c r="O82" s="46"/>
    </row>
    <row r="83" ht="15.75" customHeight="1">
      <c r="E83" s="45"/>
      <c r="G83" s="46"/>
      <c r="H83" s="46"/>
      <c r="I83" s="46"/>
      <c r="J83" s="46"/>
      <c r="K83" s="46"/>
      <c r="L83" s="46"/>
      <c r="M83" s="46"/>
      <c r="N83" s="46"/>
      <c r="O83" s="46"/>
    </row>
    <row r="84" ht="15.75" customHeight="1">
      <c r="E84" s="45"/>
      <c r="G84" s="46"/>
      <c r="H84" s="46"/>
      <c r="I84" s="46"/>
      <c r="J84" s="46"/>
      <c r="K84" s="46"/>
      <c r="L84" s="46"/>
      <c r="M84" s="46"/>
      <c r="N84" s="46"/>
      <c r="O84" s="46"/>
    </row>
    <row r="85" ht="15.75" customHeight="1">
      <c r="E85" s="45"/>
      <c r="G85" s="46"/>
      <c r="H85" s="46"/>
      <c r="I85" s="46"/>
      <c r="J85" s="46"/>
      <c r="K85" s="46"/>
      <c r="L85" s="46"/>
      <c r="M85" s="46"/>
      <c r="N85" s="46"/>
      <c r="O85" s="46"/>
    </row>
    <row r="86" ht="15.75" customHeight="1">
      <c r="E86" s="45"/>
      <c r="G86" s="46"/>
      <c r="H86" s="46"/>
      <c r="I86" s="46"/>
      <c r="J86" s="46"/>
      <c r="K86" s="46"/>
      <c r="L86" s="46"/>
      <c r="M86" s="46"/>
      <c r="N86" s="46"/>
      <c r="O86" s="46"/>
    </row>
    <row r="87" ht="15.75" customHeight="1">
      <c r="E87" s="45"/>
      <c r="G87" s="46"/>
      <c r="H87" s="46"/>
      <c r="I87" s="46"/>
      <c r="J87" s="46"/>
      <c r="K87" s="46"/>
      <c r="L87" s="46"/>
      <c r="M87" s="46"/>
      <c r="N87" s="46"/>
      <c r="O87" s="46"/>
    </row>
    <row r="88" ht="15.75" customHeight="1">
      <c r="E88" s="45"/>
      <c r="G88" s="46"/>
      <c r="H88" s="46"/>
      <c r="I88" s="46"/>
      <c r="J88" s="46"/>
      <c r="K88" s="46"/>
      <c r="L88" s="46"/>
      <c r="M88" s="46"/>
      <c r="N88" s="46"/>
      <c r="O88" s="46"/>
    </row>
    <row r="89" ht="15.75" customHeight="1">
      <c r="E89" s="45"/>
      <c r="G89" s="46"/>
      <c r="H89" s="46"/>
      <c r="I89" s="46"/>
      <c r="J89" s="46"/>
      <c r="K89" s="46"/>
      <c r="L89" s="46"/>
      <c r="M89" s="46"/>
      <c r="N89" s="46"/>
      <c r="O89" s="46"/>
    </row>
    <row r="90" ht="15.75" customHeight="1">
      <c r="E90" s="45"/>
      <c r="G90" s="46"/>
      <c r="H90" s="46"/>
      <c r="I90" s="46"/>
      <c r="J90" s="46"/>
      <c r="K90" s="46"/>
      <c r="L90" s="46"/>
      <c r="M90" s="46"/>
      <c r="N90" s="46"/>
      <c r="O90" s="46"/>
    </row>
    <row r="91" ht="15.75" customHeight="1">
      <c r="E91" s="45"/>
      <c r="G91" s="46"/>
      <c r="H91" s="46"/>
      <c r="I91" s="46"/>
      <c r="J91" s="46"/>
      <c r="K91" s="46"/>
      <c r="L91" s="46"/>
      <c r="M91" s="46"/>
      <c r="N91" s="46"/>
      <c r="O91" s="46"/>
    </row>
    <row r="92" ht="15.75" customHeight="1">
      <c r="E92" s="45"/>
      <c r="G92" s="46"/>
      <c r="H92" s="46"/>
      <c r="I92" s="46"/>
      <c r="J92" s="46"/>
      <c r="K92" s="46"/>
      <c r="L92" s="46"/>
      <c r="M92" s="46"/>
      <c r="N92" s="46"/>
      <c r="O92" s="46"/>
    </row>
    <row r="93" ht="15.75" customHeight="1">
      <c r="E93" s="45"/>
      <c r="G93" s="46"/>
      <c r="H93" s="46"/>
      <c r="I93" s="46"/>
      <c r="J93" s="46"/>
      <c r="K93" s="46"/>
      <c r="L93" s="46"/>
      <c r="M93" s="46"/>
      <c r="N93" s="46"/>
      <c r="O93" s="46"/>
    </row>
    <row r="94" ht="15.75" customHeight="1">
      <c r="E94" s="45"/>
      <c r="G94" s="46"/>
      <c r="H94" s="46"/>
      <c r="I94" s="46"/>
      <c r="J94" s="46"/>
      <c r="K94" s="46"/>
      <c r="L94" s="46"/>
      <c r="M94" s="46"/>
      <c r="N94" s="46"/>
      <c r="O94" s="46"/>
    </row>
    <row r="95" ht="15.75" customHeight="1">
      <c r="E95" s="45"/>
      <c r="G95" s="46"/>
      <c r="H95" s="46"/>
      <c r="I95" s="46"/>
      <c r="J95" s="46"/>
      <c r="K95" s="46"/>
      <c r="L95" s="46"/>
      <c r="M95" s="46"/>
      <c r="N95" s="46"/>
      <c r="O95" s="46"/>
    </row>
    <row r="96" ht="15.75" customHeight="1">
      <c r="E96" s="45"/>
      <c r="G96" s="46"/>
      <c r="H96" s="46"/>
      <c r="I96" s="46"/>
      <c r="J96" s="46"/>
      <c r="K96" s="46"/>
      <c r="L96" s="46"/>
      <c r="M96" s="46"/>
      <c r="N96" s="46"/>
      <c r="O96" s="46"/>
    </row>
    <row r="97" ht="15.75" customHeight="1">
      <c r="E97" s="45"/>
      <c r="G97" s="46"/>
      <c r="H97" s="46"/>
      <c r="I97" s="46"/>
      <c r="J97" s="46"/>
      <c r="K97" s="46"/>
      <c r="L97" s="46"/>
      <c r="M97" s="46"/>
      <c r="N97" s="46"/>
      <c r="O97" s="46"/>
    </row>
    <row r="98" ht="15.75" customHeight="1">
      <c r="E98" s="45"/>
      <c r="G98" s="46"/>
      <c r="H98" s="46"/>
      <c r="I98" s="46"/>
      <c r="J98" s="46"/>
      <c r="K98" s="46"/>
      <c r="L98" s="46"/>
      <c r="M98" s="46"/>
      <c r="N98" s="46"/>
      <c r="O98" s="46"/>
    </row>
    <row r="99" ht="15.75" customHeight="1">
      <c r="E99" s="45"/>
      <c r="G99" s="46"/>
      <c r="H99" s="46"/>
      <c r="I99" s="46"/>
      <c r="J99" s="46"/>
      <c r="K99" s="46"/>
      <c r="L99" s="46"/>
      <c r="M99" s="46"/>
      <c r="N99" s="46"/>
      <c r="O99" s="46"/>
    </row>
    <row r="100" ht="15.75" customHeight="1">
      <c r="E100" s="45"/>
      <c r="G100" s="46"/>
      <c r="H100" s="46"/>
      <c r="I100" s="46"/>
      <c r="J100" s="46"/>
      <c r="K100" s="46"/>
      <c r="L100" s="46"/>
      <c r="M100" s="46"/>
      <c r="N100" s="46"/>
      <c r="O100" s="46"/>
    </row>
    <row r="101" ht="15.75" customHeight="1">
      <c r="E101" s="45"/>
      <c r="G101" s="46"/>
      <c r="H101" s="46"/>
      <c r="I101" s="46"/>
      <c r="J101" s="46"/>
      <c r="K101" s="46"/>
      <c r="L101" s="46"/>
      <c r="M101" s="46"/>
      <c r="N101" s="46"/>
      <c r="O101" s="46"/>
    </row>
    <row r="102" ht="15.75" customHeight="1">
      <c r="E102" s="45"/>
      <c r="G102" s="46"/>
      <c r="H102" s="46"/>
      <c r="I102" s="46"/>
      <c r="J102" s="46"/>
      <c r="K102" s="46"/>
      <c r="L102" s="46"/>
      <c r="M102" s="46"/>
      <c r="N102" s="46"/>
      <c r="O102" s="46"/>
    </row>
    <row r="103" ht="15.75" customHeight="1">
      <c r="E103" s="45"/>
      <c r="G103" s="46"/>
      <c r="H103" s="46"/>
      <c r="I103" s="46"/>
      <c r="J103" s="46"/>
      <c r="K103" s="46"/>
      <c r="L103" s="46"/>
      <c r="M103" s="46"/>
      <c r="N103" s="46"/>
      <c r="O103" s="46"/>
    </row>
    <row r="104" ht="15.75" customHeight="1">
      <c r="E104" s="45"/>
      <c r="G104" s="46"/>
      <c r="H104" s="46"/>
      <c r="I104" s="46"/>
      <c r="J104" s="46"/>
      <c r="K104" s="46"/>
      <c r="L104" s="46"/>
      <c r="M104" s="46"/>
      <c r="N104" s="46"/>
      <c r="O104" s="46"/>
    </row>
    <row r="105" ht="15.75" customHeight="1">
      <c r="E105" s="45"/>
      <c r="G105" s="46"/>
      <c r="H105" s="46"/>
      <c r="I105" s="46"/>
      <c r="J105" s="46"/>
      <c r="K105" s="46"/>
      <c r="L105" s="46"/>
      <c r="M105" s="46"/>
      <c r="N105" s="46"/>
      <c r="O105" s="46"/>
    </row>
    <row r="106" ht="15.75" customHeight="1">
      <c r="E106" s="45"/>
      <c r="G106" s="46"/>
      <c r="H106" s="46"/>
      <c r="I106" s="46"/>
      <c r="J106" s="46"/>
      <c r="K106" s="46"/>
      <c r="L106" s="46"/>
      <c r="M106" s="46"/>
      <c r="N106" s="46"/>
      <c r="O106" s="46"/>
    </row>
    <row r="107" ht="15.75" customHeight="1">
      <c r="E107" s="45"/>
      <c r="G107" s="46"/>
      <c r="H107" s="46"/>
      <c r="I107" s="46"/>
      <c r="J107" s="46"/>
      <c r="K107" s="46"/>
      <c r="L107" s="46"/>
      <c r="M107" s="46"/>
      <c r="N107" s="46"/>
      <c r="O107" s="46"/>
    </row>
    <row r="108" ht="15.75" customHeight="1">
      <c r="E108" s="45"/>
      <c r="G108" s="46"/>
      <c r="H108" s="46"/>
      <c r="I108" s="46"/>
      <c r="J108" s="46"/>
      <c r="K108" s="46"/>
      <c r="L108" s="46"/>
      <c r="M108" s="46"/>
      <c r="N108" s="46"/>
      <c r="O108" s="46"/>
    </row>
    <row r="109" ht="15.75" customHeight="1">
      <c r="E109" s="45"/>
      <c r="G109" s="46"/>
      <c r="H109" s="46"/>
      <c r="I109" s="46"/>
      <c r="J109" s="46"/>
      <c r="K109" s="46"/>
      <c r="L109" s="46"/>
      <c r="M109" s="46"/>
      <c r="N109" s="46"/>
      <c r="O109" s="46"/>
    </row>
    <row r="110" ht="15.75" customHeight="1">
      <c r="E110" s="45"/>
      <c r="G110" s="46"/>
      <c r="H110" s="46"/>
      <c r="I110" s="46"/>
      <c r="J110" s="46"/>
      <c r="K110" s="46"/>
      <c r="L110" s="46"/>
      <c r="M110" s="46"/>
      <c r="N110" s="46"/>
      <c r="O110" s="46"/>
    </row>
    <row r="111" ht="15.75" customHeight="1">
      <c r="E111" s="45"/>
      <c r="G111" s="46"/>
      <c r="H111" s="46"/>
      <c r="I111" s="46"/>
      <c r="J111" s="46"/>
      <c r="K111" s="46"/>
      <c r="L111" s="46"/>
      <c r="M111" s="46"/>
      <c r="N111" s="46"/>
      <c r="O111" s="46"/>
    </row>
    <row r="112" ht="15.75" customHeight="1">
      <c r="E112" s="45"/>
      <c r="G112" s="46"/>
      <c r="H112" s="46"/>
      <c r="I112" s="46"/>
      <c r="J112" s="46"/>
      <c r="K112" s="46"/>
      <c r="L112" s="46"/>
      <c r="M112" s="46"/>
      <c r="N112" s="46"/>
      <c r="O112" s="46"/>
    </row>
    <row r="113" ht="15.75" customHeight="1">
      <c r="E113" s="45"/>
      <c r="G113" s="46"/>
      <c r="H113" s="46"/>
      <c r="I113" s="46"/>
      <c r="J113" s="46"/>
      <c r="K113" s="46"/>
      <c r="L113" s="46"/>
      <c r="M113" s="46"/>
      <c r="N113" s="46"/>
      <c r="O113" s="46"/>
    </row>
    <row r="114" ht="15.75" customHeight="1">
      <c r="E114" s="45"/>
      <c r="G114" s="46"/>
      <c r="H114" s="46"/>
      <c r="I114" s="46"/>
      <c r="J114" s="46"/>
      <c r="K114" s="46"/>
      <c r="L114" s="46"/>
      <c r="M114" s="46"/>
      <c r="N114" s="46"/>
      <c r="O114" s="46"/>
    </row>
    <row r="115" ht="15.75" customHeight="1">
      <c r="E115" s="45"/>
      <c r="G115" s="46"/>
      <c r="H115" s="46"/>
      <c r="I115" s="46"/>
      <c r="J115" s="46"/>
      <c r="K115" s="46"/>
      <c r="L115" s="46"/>
      <c r="M115" s="46"/>
      <c r="N115" s="46"/>
      <c r="O115" s="46"/>
    </row>
    <row r="116" ht="15.75" customHeight="1">
      <c r="E116" s="45"/>
      <c r="G116" s="46"/>
      <c r="H116" s="46"/>
      <c r="I116" s="46"/>
      <c r="J116" s="46"/>
      <c r="K116" s="46"/>
      <c r="L116" s="46"/>
      <c r="M116" s="46"/>
      <c r="N116" s="46"/>
      <c r="O116" s="46"/>
    </row>
    <row r="117" ht="15.75" customHeight="1">
      <c r="E117" s="45"/>
      <c r="G117" s="46"/>
      <c r="H117" s="46"/>
      <c r="I117" s="46"/>
      <c r="J117" s="46"/>
      <c r="K117" s="46"/>
      <c r="L117" s="46"/>
      <c r="M117" s="46"/>
      <c r="N117" s="46"/>
      <c r="O117" s="46"/>
    </row>
    <row r="118" ht="15.75" customHeight="1">
      <c r="E118" s="45"/>
      <c r="G118" s="46"/>
      <c r="H118" s="46"/>
      <c r="I118" s="46"/>
      <c r="J118" s="46"/>
      <c r="K118" s="46"/>
      <c r="L118" s="46"/>
      <c r="M118" s="46"/>
      <c r="N118" s="46"/>
      <c r="O118" s="46"/>
    </row>
    <row r="119" ht="15.75" customHeight="1">
      <c r="E119" s="45"/>
      <c r="G119" s="46"/>
      <c r="H119" s="46"/>
      <c r="I119" s="46"/>
      <c r="J119" s="46"/>
      <c r="K119" s="46"/>
      <c r="L119" s="46"/>
      <c r="M119" s="46"/>
      <c r="N119" s="46"/>
      <c r="O119" s="46"/>
    </row>
    <row r="120" ht="15.75" customHeight="1">
      <c r="E120" s="45"/>
      <c r="G120" s="46"/>
      <c r="H120" s="46"/>
      <c r="I120" s="46"/>
      <c r="J120" s="46"/>
      <c r="K120" s="46"/>
      <c r="L120" s="46"/>
      <c r="M120" s="46"/>
      <c r="N120" s="46"/>
      <c r="O120" s="46"/>
    </row>
    <row r="121" ht="15.75" customHeight="1">
      <c r="E121" s="45"/>
      <c r="G121" s="46"/>
      <c r="H121" s="46"/>
      <c r="I121" s="46"/>
      <c r="J121" s="46"/>
      <c r="K121" s="46"/>
      <c r="L121" s="46"/>
      <c r="M121" s="46"/>
      <c r="N121" s="46"/>
      <c r="O121" s="46"/>
    </row>
    <row r="122" ht="15.75" customHeight="1">
      <c r="E122" s="45"/>
      <c r="G122" s="46"/>
      <c r="H122" s="46"/>
      <c r="I122" s="46"/>
      <c r="J122" s="46"/>
      <c r="K122" s="46"/>
      <c r="L122" s="46"/>
      <c r="M122" s="46"/>
      <c r="N122" s="46"/>
      <c r="O122" s="46"/>
    </row>
    <row r="123" ht="15.75" customHeight="1">
      <c r="E123" s="45"/>
      <c r="G123" s="46"/>
      <c r="H123" s="46"/>
      <c r="I123" s="46"/>
      <c r="J123" s="46"/>
      <c r="K123" s="46"/>
      <c r="L123" s="46"/>
      <c r="M123" s="46"/>
      <c r="N123" s="46"/>
      <c r="O123" s="46"/>
    </row>
    <row r="124" ht="15.75" customHeight="1">
      <c r="E124" s="45"/>
      <c r="G124" s="46"/>
      <c r="H124" s="46"/>
      <c r="I124" s="46"/>
      <c r="J124" s="46"/>
      <c r="K124" s="46"/>
      <c r="L124" s="46"/>
      <c r="M124" s="46"/>
      <c r="N124" s="46"/>
      <c r="O124" s="46"/>
    </row>
    <row r="125" ht="15.75" customHeight="1">
      <c r="E125" s="45"/>
      <c r="G125" s="46"/>
      <c r="H125" s="46"/>
      <c r="I125" s="46"/>
      <c r="J125" s="46"/>
      <c r="K125" s="46"/>
      <c r="L125" s="46"/>
      <c r="M125" s="46"/>
      <c r="N125" s="46"/>
      <c r="O125" s="46"/>
    </row>
    <row r="126" ht="15.75" customHeight="1">
      <c r="E126" s="45"/>
      <c r="G126" s="46"/>
      <c r="H126" s="46"/>
      <c r="I126" s="46"/>
      <c r="J126" s="46"/>
      <c r="K126" s="46"/>
      <c r="L126" s="46"/>
      <c r="M126" s="46"/>
      <c r="N126" s="46"/>
      <c r="O126" s="46"/>
    </row>
    <row r="127" ht="15.75" customHeight="1">
      <c r="E127" s="45"/>
      <c r="G127" s="46"/>
      <c r="H127" s="46"/>
      <c r="I127" s="46"/>
      <c r="J127" s="46"/>
      <c r="K127" s="46"/>
      <c r="L127" s="46"/>
      <c r="M127" s="46"/>
      <c r="N127" s="46"/>
      <c r="O127" s="46"/>
    </row>
    <row r="128" ht="15.75" customHeight="1">
      <c r="E128" s="45"/>
      <c r="G128" s="46"/>
      <c r="H128" s="46"/>
      <c r="I128" s="46"/>
      <c r="J128" s="46"/>
      <c r="K128" s="46"/>
      <c r="L128" s="46"/>
      <c r="M128" s="46"/>
      <c r="N128" s="46"/>
      <c r="O128" s="46"/>
    </row>
    <row r="129" ht="15.75" customHeight="1">
      <c r="E129" s="45"/>
      <c r="G129" s="46"/>
      <c r="H129" s="46"/>
      <c r="I129" s="46"/>
      <c r="J129" s="46"/>
      <c r="K129" s="46"/>
      <c r="L129" s="46"/>
      <c r="M129" s="46"/>
      <c r="N129" s="46"/>
      <c r="O129" s="46"/>
    </row>
    <row r="130" ht="15.75" customHeight="1">
      <c r="E130" s="45"/>
      <c r="G130" s="46"/>
      <c r="H130" s="46"/>
      <c r="I130" s="46"/>
      <c r="J130" s="46"/>
      <c r="K130" s="46"/>
      <c r="L130" s="46"/>
      <c r="M130" s="46"/>
      <c r="N130" s="46"/>
      <c r="O130" s="46"/>
    </row>
    <row r="131" ht="15.75" customHeight="1">
      <c r="E131" s="45"/>
      <c r="G131" s="46"/>
      <c r="H131" s="46"/>
      <c r="I131" s="46"/>
      <c r="J131" s="46"/>
      <c r="K131" s="46"/>
      <c r="L131" s="46"/>
      <c r="M131" s="46"/>
      <c r="N131" s="46"/>
      <c r="O131" s="46"/>
    </row>
    <row r="132" ht="15.75" customHeight="1">
      <c r="E132" s="45"/>
      <c r="G132" s="46"/>
      <c r="H132" s="46"/>
      <c r="I132" s="46"/>
      <c r="J132" s="46"/>
      <c r="K132" s="46"/>
      <c r="L132" s="46"/>
      <c r="M132" s="46"/>
      <c r="N132" s="46"/>
      <c r="O132" s="46"/>
    </row>
    <row r="133" ht="15.75" customHeight="1">
      <c r="E133" s="45"/>
      <c r="G133" s="46"/>
      <c r="H133" s="46"/>
      <c r="I133" s="46"/>
      <c r="J133" s="46"/>
      <c r="K133" s="46"/>
      <c r="L133" s="46"/>
      <c r="M133" s="46"/>
      <c r="N133" s="46"/>
      <c r="O133" s="46"/>
    </row>
    <row r="134" ht="15.75" customHeight="1">
      <c r="E134" s="45"/>
      <c r="G134" s="46"/>
      <c r="H134" s="46"/>
      <c r="I134" s="46"/>
      <c r="J134" s="46"/>
      <c r="K134" s="46"/>
      <c r="L134" s="46"/>
      <c r="M134" s="46"/>
      <c r="N134" s="46"/>
      <c r="O134" s="46"/>
    </row>
    <row r="135" ht="15.75" customHeight="1">
      <c r="E135" s="45"/>
      <c r="G135" s="46"/>
      <c r="H135" s="46"/>
      <c r="I135" s="46"/>
      <c r="J135" s="46"/>
      <c r="K135" s="46"/>
      <c r="L135" s="46"/>
      <c r="M135" s="46"/>
      <c r="N135" s="46"/>
      <c r="O135" s="46"/>
    </row>
    <row r="136" ht="15.75" customHeight="1">
      <c r="E136" s="45"/>
      <c r="G136" s="46"/>
      <c r="H136" s="46"/>
      <c r="I136" s="46"/>
      <c r="J136" s="46"/>
      <c r="K136" s="46"/>
      <c r="L136" s="46"/>
      <c r="M136" s="46"/>
      <c r="N136" s="46"/>
      <c r="O136" s="46"/>
    </row>
    <row r="137" ht="15.75" customHeight="1">
      <c r="E137" s="45"/>
      <c r="G137" s="46"/>
      <c r="H137" s="46"/>
      <c r="I137" s="46"/>
      <c r="J137" s="46"/>
      <c r="K137" s="46"/>
      <c r="L137" s="46"/>
      <c r="M137" s="46"/>
      <c r="N137" s="46"/>
      <c r="O137" s="46"/>
    </row>
    <row r="138" ht="15.75" customHeight="1">
      <c r="E138" s="45"/>
      <c r="G138" s="46"/>
      <c r="H138" s="46"/>
      <c r="I138" s="46"/>
      <c r="J138" s="46"/>
      <c r="K138" s="46"/>
      <c r="L138" s="46"/>
      <c r="M138" s="46"/>
      <c r="N138" s="46"/>
      <c r="O138" s="46"/>
    </row>
    <row r="139" ht="15.75" customHeight="1">
      <c r="E139" s="45"/>
      <c r="G139" s="46"/>
      <c r="H139" s="46"/>
      <c r="I139" s="46"/>
      <c r="J139" s="46"/>
      <c r="K139" s="46"/>
      <c r="L139" s="46"/>
      <c r="M139" s="46"/>
      <c r="N139" s="46"/>
      <c r="O139" s="46"/>
    </row>
    <row r="140" ht="15.75" customHeight="1">
      <c r="E140" s="45"/>
      <c r="G140" s="46"/>
      <c r="H140" s="46"/>
      <c r="I140" s="46"/>
      <c r="J140" s="46"/>
      <c r="K140" s="46"/>
      <c r="L140" s="46"/>
      <c r="M140" s="46"/>
      <c r="N140" s="46"/>
      <c r="O140" s="46"/>
    </row>
    <row r="141" ht="15.75" customHeight="1">
      <c r="E141" s="45"/>
      <c r="G141" s="46"/>
      <c r="H141" s="46"/>
      <c r="I141" s="46"/>
      <c r="J141" s="46"/>
      <c r="K141" s="46"/>
      <c r="L141" s="46"/>
      <c r="M141" s="46"/>
      <c r="N141" s="46"/>
      <c r="O141" s="46"/>
    </row>
    <row r="142" ht="15.75" customHeight="1">
      <c r="E142" s="45"/>
      <c r="G142" s="46"/>
      <c r="H142" s="46"/>
      <c r="I142" s="46"/>
      <c r="J142" s="46"/>
      <c r="K142" s="46"/>
      <c r="L142" s="46"/>
      <c r="M142" s="46"/>
      <c r="N142" s="46"/>
      <c r="O142" s="46"/>
    </row>
    <row r="143" ht="15.75" customHeight="1">
      <c r="E143" s="45"/>
      <c r="G143" s="46"/>
      <c r="H143" s="46"/>
      <c r="I143" s="46"/>
      <c r="J143" s="46"/>
      <c r="K143" s="46"/>
      <c r="L143" s="46"/>
      <c r="M143" s="46"/>
      <c r="N143" s="46"/>
      <c r="O143" s="46"/>
    </row>
    <row r="144" ht="15.75" customHeight="1">
      <c r="E144" s="45"/>
      <c r="G144" s="46"/>
      <c r="H144" s="46"/>
      <c r="I144" s="46"/>
      <c r="J144" s="46"/>
      <c r="K144" s="46"/>
      <c r="L144" s="46"/>
      <c r="M144" s="46"/>
      <c r="N144" s="46"/>
      <c r="O144" s="46"/>
    </row>
    <row r="145" ht="15.75" customHeight="1">
      <c r="E145" s="45"/>
      <c r="G145" s="46"/>
      <c r="H145" s="46"/>
      <c r="I145" s="46"/>
      <c r="J145" s="46"/>
      <c r="K145" s="46"/>
      <c r="L145" s="46"/>
      <c r="M145" s="46"/>
      <c r="N145" s="46"/>
      <c r="O145" s="46"/>
    </row>
    <row r="146" ht="15.75" customHeight="1">
      <c r="E146" s="45"/>
      <c r="G146" s="46"/>
      <c r="H146" s="46"/>
      <c r="I146" s="46"/>
      <c r="J146" s="46"/>
      <c r="K146" s="46"/>
      <c r="L146" s="46"/>
      <c r="M146" s="46"/>
      <c r="N146" s="46"/>
      <c r="O146" s="46"/>
    </row>
    <row r="147" ht="15.75" customHeight="1">
      <c r="E147" s="45"/>
      <c r="G147" s="46"/>
      <c r="H147" s="46"/>
      <c r="I147" s="46"/>
      <c r="J147" s="46"/>
      <c r="K147" s="46"/>
      <c r="L147" s="46"/>
      <c r="M147" s="46"/>
      <c r="N147" s="46"/>
      <c r="O147" s="46"/>
    </row>
    <row r="148" ht="15.75" customHeight="1">
      <c r="E148" s="45"/>
      <c r="G148" s="46"/>
      <c r="H148" s="46"/>
      <c r="I148" s="46"/>
      <c r="J148" s="46"/>
      <c r="K148" s="46"/>
      <c r="L148" s="46"/>
      <c r="M148" s="46"/>
      <c r="N148" s="46"/>
      <c r="O148" s="46"/>
    </row>
    <row r="149" ht="15.75" customHeight="1">
      <c r="E149" s="45"/>
      <c r="G149" s="46"/>
      <c r="H149" s="46"/>
      <c r="I149" s="46"/>
      <c r="J149" s="46"/>
      <c r="K149" s="46"/>
      <c r="L149" s="46"/>
      <c r="M149" s="46"/>
      <c r="N149" s="46"/>
      <c r="O149" s="46"/>
    </row>
    <row r="150" ht="15.75" customHeight="1">
      <c r="E150" s="45"/>
      <c r="G150" s="46"/>
      <c r="H150" s="46"/>
      <c r="I150" s="46"/>
      <c r="J150" s="46"/>
      <c r="K150" s="46"/>
      <c r="L150" s="46"/>
      <c r="M150" s="46"/>
      <c r="N150" s="46"/>
      <c r="O150" s="46"/>
    </row>
    <row r="151" ht="15.75" customHeight="1">
      <c r="E151" s="45"/>
      <c r="G151" s="46"/>
      <c r="H151" s="46"/>
      <c r="I151" s="46"/>
      <c r="J151" s="46"/>
      <c r="K151" s="46"/>
      <c r="L151" s="46"/>
      <c r="M151" s="46"/>
      <c r="N151" s="46"/>
      <c r="O151" s="46"/>
    </row>
    <row r="152" ht="15.75" customHeight="1">
      <c r="E152" s="45"/>
      <c r="G152" s="46"/>
      <c r="H152" s="46"/>
      <c r="I152" s="46"/>
      <c r="J152" s="46"/>
      <c r="K152" s="46"/>
      <c r="L152" s="46"/>
      <c r="M152" s="46"/>
      <c r="N152" s="46"/>
      <c r="O152" s="46"/>
    </row>
    <row r="153" ht="15.75" customHeight="1">
      <c r="E153" s="45"/>
      <c r="G153" s="46"/>
      <c r="H153" s="46"/>
      <c r="I153" s="46"/>
      <c r="J153" s="46"/>
      <c r="K153" s="46"/>
      <c r="L153" s="46"/>
      <c r="M153" s="46"/>
      <c r="N153" s="46"/>
      <c r="O153" s="46"/>
    </row>
    <row r="154" ht="15.75" customHeight="1">
      <c r="E154" s="45"/>
      <c r="G154" s="46"/>
      <c r="H154" s="46"/>
      <c r="I154" s="46"/>
      <c r="J154" s="46"/>
      <c r="K154" s="46"/>
      <c r="L154" s="46"/>
      <c r="M154" s="46"/>
      <c r="N154" s="46"/>
      <c r="O154" s="46"/>
    </row>
    <row r="155" ht="15.75" customHeight="1">
      <c r="E155" s="45"/>
      <c r="G155" s="46"/>
      <c r="H155" s="46"/>
      <c r="I155" s="46"/>
      <c r="J155" s="46"/>
      <c r="K155" s="46"/>
      <c r="L155" s="46"/>
      <c r="M155" s="46"/>
      <c r="N155" s="46"/>
      <c r="O155" s="46"/>
    </row>
    <row r="156" ht="15.75" customHeight="1">
      <c r="E156" s="45"/>
      <c r="G156" s="46"/>
      <c r="H156" s="46"/>
      <c r="I156" s="46"/>
      <c r="J156" s="46"/>
      <c r="K156" s="46"/>
      <c r="L156" s="46"/>
      <c r="M156" s="46"/>
      <c r="N156" s="46"/>
      <c r="O156" s="46"/>
    </row>
    <row r="157" ht="15.75" customHeight="1">
      <c r="E157" s="45"/>
      <c r="G157" s="46"/>
      <c r="H157" s="46"/>
      <c r="I157" s="46"/>
      <c r="J157" s="46"/>
      <c r="K157" s="46"/>
      <c r="L157" s="46"/>
      <c r="M157" s="46"/>
      <c r="N157" s="46"/>
      <c r="O157" s="46"/>
    </row>
    <row r="158" ht="15.75" customHeight="1">
      <c r="E158" s="45"/>
      <c r="G158" s="46"/>
      <c r="H158" s="46"/>
      <c r="I158" s="46"/>
      <c r="J158" s="46"/>
      <c r="K158" s="46"/>
      <c r="L158" s="46"/>
      <c r="M158" s="46"/>
      <c r="N158" s="46"/>
      <c r="O158" s="46"/>
    </row>
    <row r="159" ht="15.75" customHeight="1">
      <c r="E159" s="45"/>
      <c r="G159" s="46"/>
      <c r="H159" s="46"/>
      <c r="I159" s="46"/>
      <c r="J159" s="46"/>
      <c r="K159" s="46"/>
      <c r="L159" s="46"/>
      <c r="M159" s="46"/>
      <c r="N159" s="46"/>
      <c r="O159" s="46"/>
    </row>
    <row r="160" ht="15.75" customHeight="1">
      <c r="E160" s="45"/>
      <c r="G160" s="46"/>
      <c r="H160" s="46"/>
      <c r="I160" s="46"/>
      <c r="J160" s="46"/>
      <c r="K160" s="46"/>
      <c r="L160" s="46"/>
      <c r="M160" s="46"/>
      <c r="N160" s="46"/>
      <c r="O160" s="46"/>
    </row>
    <row r="161" ht="15.75" customHeight="1">
      <c r="E161" s="45"/>
      <c r="G161" s="46"/>
      <c r="H161" s="46"/>
      <c r="I161" s="46"/>
      <c r="J161" s="46"/>
      <c r="K161" s="46"/>
      <c r="L161" s="46"/>
      <c r="M161" s="46"/>
      <c r="N161" s="46"/>
      <c r="O161" s="46"/>
    </row>
    <row r="162" ht="15.75" customHeight="1">
      <c r="E162" s="45"/>
      <c r="G162" s="46"/>
      <c r="H162" s="46"/>
      <c r="I162" s="46"/>
      <c r="J162" s="46"/>
      <c r="K162" s="46"/>
      <c r="L162" s="46"/>
      <c r="M162" s="46"/>
      <c r="N162" s="46"/>
      <c r="O162" s="46"/>
    </row>
    <row r="163" ht="15.75" customHeight="1">
      <c r="E163" s="45"/>
      <c r="G163" s="46"/>
      <c r="H163" s="46"/>
      <c r="I163" s="46"/>
      <c r="J163" s="46"/>
      <c r="K163" s="46"/>
      <c r="L163" s="46"/>
      <c r="M163" s="46"/>
      <c r="N163" s="46"/>
      <c r="O163" s="46"/>
    </row>
    <row r="164" ht="15.75" customHeight="1">
      <c r="E164" s="45"/>
      <c r="G164" s="46"/>
      <c r="H164" s="46"/>
      <c r="I164" s="46"/>
      <c r="J164" s="46"/>
      <c r="K164" s="46"/>
      <c r="L164" s="46"/>
      <c r="M164" s="46"/>
      <c r="N164" s="46"/>
      <c r="O164" s="46"/>
    </row>
    <row r="165" ht="15.75" customHeight="1">
      <c r="E165" s="45"/>
      <c r="G165" s="46"/>
      <c r="H165" s="46"/>
      <c r="I165" s="46"/>
      <c r="J165" s="46"/>
      <c r="K165" s="46"/>
      <c r="L165" s="46"/>
      <c r="M165" s="46"/>
      <c r="N165" s="46"/>
      <c r="O165" s="46"/>
    </row>
    <row r="166" ht="15.75" customHeight="1">
      <c r="E166" s="45"/>
      <c r="G166" s="46"/>
      <c r="H166" s="46"/>
      <c r="I166" s="46"/>
      <c r="J166" s="46"/>
      <c r="K166" s="46"/>
      <c r="L166" s="46"/>
      <c r="M166" s="46"/>
      <c r="N166" s="46"/>
      <c r="O166" s="46"/>
    </row>
    <row r="167" ht="15.75" customHeight="1">
      <c r="E167" s="45"/>
      <c r="G167" s="46"/>
      <c r="H167" s="46"/>
      <c r="I167" s="46"/>
      <c r="J167" s="46"/>
      <c r="K167" s="46"/>
      <c r="L167" s="46"/>
      <c r="M167" s="46"/>
      <c r="N167" s="46"/>
      <c r="O167" s="46"/>
    </row>
    <row r="168" ht="15.75" customHeight="1">
      <c r="E168" s="45"/>
      <c r="G168" s="46"/>
      <c r="H168" s="46"/>
      <c r="I168" s="46"/>
      <c r="J168" s="46"/>
      <c r="K168" s="46"/>
      <c r="L168" s="46"/>
      <c r="M168" s="46"/>
      <c r="N168" s="46"/>
      <c r="O168" s="46"/>
    </row>
    <row r="169" ht="15.75" customHeight="1">
      <c r="E169" s="45"/>
      <c r="G169" s="46"/>
      <c r="H169" s="46"/>
      <c r="I169" s="46"/>
      <c r="J169" s="46"/>
      <c r="K169" s="46"/>
      <c r="L169" s="46"/>
      <c r="M169" s="46"/>
      <c r="N169" s="46"/>
      <c r="O169" s="46"/>
    </row>
    <row r="170" ht="15.75" customHeight="1">
      <c r="E170" s="45"/>
      <c r="G170" s="46"/>
      <c r="H170" s="46"/>
      <c r="I170" s="46"/>
      <c r="J170" s="46"/>
      <c r="K170" s="46"/>
      <c r="L170" s="46"/>
      <c r="M170" s="46"/>
      <c r="N170" s="46"/>
      <c r="O170" s="46"/>
    </row>
    <row r="171" ht="15.75" customHeight="1">
      <c r="E171" s="45"/>
      <c r="G171" s="46"/>
      <c r="H171" s="46"/>
      <c r="I171" s="46"/>
      <c r="J171" s="46"/>
      <c r="K171" s="46"/>
      <c r="L171" s="46"/>
      <c r="M171" s="46"/>
      <c r="N171" s="46"/>
      <c r="O171" s="46"/>
    </row>
    <row r="172" ht="15.75" customHeight="1">
      <c r="E172" s="45"/>
      <c r="G172" s="46"/>
      <c r="H172" s="46"/>
      <c r="I172" s="46"/>
      <c r="J172" s="46"/>
      <c r="K172" s="46"/>
      <c r="L172" s="46"/>
      <c r="M172" s="46"/>
      <c r="N172" s="46"/>
      <c r="O172" s="46"/>
    </row>
    <row r="173" ht="15.75" customHeight="1">
      <c r="E173" s="45"/>
      <c r="G173" s="46"/>
      <c r="H173" s="46"/>
      <c r="I173" s="46"/>
      <c r="J173" s="46"/>
      <c r="K173" s="46"/>
      <c r="L173" s="46"/>
      <c r="M173" s="46"/>
      <c r="N173" s="46"/>
      <c r="O173" s="46"/>
    </row>
    <row r="174" ht="15.75" customHeight="1">
      <c r="E174" s="45"/>
      <c r="G174" s="46"/>
      <c r="H174" s="46"/>
      <c r="I174" s="46"/>
      <c r="J174" s="46"/>
      <c r="K174" s="46"/>
      <c r="L174" s="46"/>
      <c r="M174" s="46"/>
      <c r="N174" s="46"/>
      <c r="O174" s="46"/>
    </row>
    <row r="175" ht="15.75" customHeight="1">
      <c r="E175" s="45"/>
      <c r="G175" s="46"/>
      <c r="H175" s="46"/>
      <c r="I175" s="46"/>
      <c r="J175" s="46"/>
      <c r="K175" s="46"/>
      <c r="L175" s="46"/>
      <c r="M175" s="46"/>
      <c r="N175" s="46"/>
      <c r="O175" s="46"/>
    </row>
    <row r="176" ht="15.75" customHeight="1">
      <c r="E176" s="45"/>
      <c r="G176" s="46"/>
      <c r="H176" s="46"/>
      <c r="I176" s="46"/>
      <c r="J176" s="46"/>
      <c r="K176" s="46"/>
      <c r="L176" s="46"/>
      <c r="M176" s="46"/>
      <c r="N176" s="46"/>
      <c r="O176" s="46"/>
    </row>
    <row r="177" ht="15.75" customHeight="1">
      <c r="E177" s="45"/>
      <c r="G177" s="46"/>
      <c r="H177" s="46"/>
      <c r="I177" s="46"/>
      <c r="J177" s="46"/>
      <c r="K177" s="46"/>
      <c r="L177" s="46"/>
      <c r="M177" s="46"/>
      <c r="N177" s="46"/>
      <c r="O177" s="46"/>
    </row>
    <row r="178" ht="15.75" customHeight="1">
      <c r="E178" s="45"/>
      <c r="G178" s="46"/>
      <c r="H178" s="46"/>
      <c r="I178" s="46"/>
      <c r="J178" s="46"/>
      <c r="K178" s="46"/>
      <c r="L178" s="46"/>
      <c r="M178" s="46"/>
      <c r="N178" s="46"/>
      <c r="O178" s="46"/>
    </row>
    <row r="179" ht="15.75" customHeight="1">
      <c r="E179" s="45"/>
      <c r="G179" s="46"/>
      <c r="H179" s="46"/>
      <c r="I179" s="46"/>
      <c r="J179" s="46"/>
      <c r="K179" s="46"/>
      <c r="L179" s="46"/>
      <c r="M179" s="46"/>
      <c r="N179" s="46"/>
      <c r="O179" s="46"/>
    </row>
    <row r="180" ht="15.75" customHeight="1">
      <c r="E180" s="45"/>
      <c r="G180" s="46"/>
      <c r="H180" s="46"/>
      <c r="I180" s="46"/>
      <c r="J180" s="46"/>
      <c r="K180" s="46"/>
      <c r="L180" s="46"/>
      <c r="M180" s="46"/>
      <c r="N180" s="46"/>
      <c r="O180" s="46"/>
    </row>
    <row r="181" ht="15.75" customHeight="1">
      <c r="E181" s="45"/>
      <c r="G181" s="46"/>
      <c r="H181" s="46"/>
      <c r="I181" s="46"/>
      <c r="J181" s="46"/>
      <c r="K181" s="46"/>
      <c r="L181" s="46"/>
      <c r="M181" s="46"/>
      <c r="N181" s="46"/>
      <c r="O181" s="46"/>
    </row>
    <row r="182" ht="15.75" customHeight="1">
      <c r="E182" s="45"/>
      <c r="G182" s="46"/>
      <c r="H182" s="46"/>
      <c r="I182" s="46"/>
      <c r="J182" s="46"/>
      <c r="K182" s="46"/>
      <c r="L182" s="46"/>
      <c r="M182" s="46"/>
      <c r="N182" s="46"/>
      <c r="O182" s="46"/>
    </row>
    <row r="183" ht="15.75" customHeight="1">
      <c r="E183" s="45"/>
      <c r="G183" s="46"/>
      <c r="H183" s="46"/>
      <c r="I183" s="46"/>
      <c r="J183" s="46"/>
      <c r="K183" s="46"/>
      <c r="L183" s="46"/>
      <c r="M183" s="46"/>
      <c r="N183" s="46"/>
      <c r="O183" s="46"/>
    </row>
    <row r="184" ht="15.75" customHeight="1">
      <c r="E184" s="45"/>
      <c r="G184" s="46"/>
      <c r="H184" s="46"/>
      <c r="I184" s="46"/>
      <c r="J184" s="46"/>
      <c r="K184" s="46"/>
      <c r="L184" s="46"/>
      <c r="M184" s="46"/>
      <c r="N184" s="46"/>
      <c r="O184" s="46"/>
    </row>
    <row r="185" ht="15.75" customHeight="1">
      <c r="E185" s="45"/>
      <c r="G185" s="46"/>
      <c r="H185" s="46"/>
      <c r="I185" s="46"/>
      <c r="J185" s="46"/>
      <c r="K185" s="46"/>
      <c r="L185" s="46"/>
      <c r="M185" s="46"/>
      <c r="N185" s="46"/>
      <c r="O185" s="46"/>
    </row>
    <row r="186" ht="15.75" customHeight="1">
      <c r="E186" s="45"/>
      <c r="G186" s="46"/>
      <c r="H186" s="46"/>
      <c r="I186" s="46"/>
      <c r="J186" s="46"/>
      <c r="K186" s="46"/>
      <c r="L186" s="46"/>
      <c r="M186" s="46"/>
      <c r="N186" s="46"/>
      <c r="O186" s="46"/>
    </row>
    <row r="187" ht="15.75" customHeight="1">
      <c r="E187" s="45"/>
      <c r="G187" s="46"/>
      <c r="H187" s="46"/>
      <c r="I187" s="46"/>
      <c r="J187" s="46"/>
      <c r="K187" s="46"/>
      <c r="L187" s="46"/>
      <c r="M187" s="46"/>
      <c r="N187" s="46"/>
      <c r="O187" s="46"/>
    </row>
    <row r="188" ht="15.75" customHeight="1">
      <c r="E188" s="45"/>
      <c r="G188" s="46"/>
      <c r="H188" s="46"/>
      <c r="I188" s="46"/>
      <c r="J188" s="46"/>
      <c r="K188" s="46"/>
      <c r="L188" s="46"/>
      <c r="M188" s="46"/>
      <c r="N188" s="46"/>
      <c r="O188" s="46"/>
    </row>
    <row r="189" ht="15.75" customHeight="1">
      <c r="E189" s="45"/>
      <c r="G189" s="46"/>
      <c r="H189" s="46"/>
      <c r="I189" s="46"/>
      <c r="J189" s="46"/>
      <c r="K189" s="46"/>
      <c r="L189" s="46"/>
      <c r="M189" s="46"/>
      <c r="N189" s="46"/>
      <c r="O189" s="46"/>
    </row>
    <row r="190" ht="15.75" customHeight="1">
      <c r="E190" s="45"/>
      <c r="G190" s="46"/>
      <c r="H190" s="46"/>
      <c r="I190" s="46"/>
      <c r="J190" s="46"/>
      <c r="K190" s="46"/>
      <c r="L190" s="46"/>
      <c r="M190" s="46"/>
      <c r="N190" s="46"/>
      <c r="O190" s="46"/>
    </row>
    <row r="191" ht="15.75" customHeight="1">
      <c r="E191" s="45"/>
      <c r="G191" s="46"/>
      <c r="H191" s="46"/>
      <c r="I191" s="46"/>
      <c r="J191" s="46"/>
      <c r="K191" s="46"/>
      <c r="L191" s="46"/>
      <c r="M191" s="46"/>
      <c r="N191" s="46"/>
      <c r="O191" s="46"/>
    </row>
    <row r="192" ht="15.75" customHeight="1">
      <c r="E192" s="45"/>
      <c r="G192" s="46"/>
      <c r="H192" s="46"/>
      <c r="I192" s="46"/>
      <c r="J192" s="46"/>
      <c r="K192" s="46"/>
      <c r="L192" s="46"/>
      <c r="M192" s="46"/>
      <c r="N192" s="46"/>
      <c r="O192" s="46"/>
    </row>
    <row r="193" ht="15.75" customHeight="1">
      <c r="E193" s="45"/>
      <c r="G193" s="46"/>
      <c r="H193" s="46"/>
      <c r="I193" s="46"/>
      <c r="J193" s="46"/>
      <c r="K193" s="46"/>
      <c r="L193" s="46"/>
      <c r="M193" s="46"/>
      <c r="N193" s="46"/>
      <c r="O193" s="46"/>
    </row>
    <row r="194" ht="15.75" customHeight="1">
      <c r="E194" s="45"/>
      <c r="G194" s="46"/>
      <c r="H194" s="46"/>
      <c r="I194" s="46"/>
      <c r="J194" s="46"/>
      <c r="K194" s="46"/>
      <c r="L194" s="46"/>
      <c r="M194" s="46"/>
      <c r="N194" s="46"/>
      <c r="O194" s="46"/>
    </row>
    <row r="195" ht="15.75" customHeight="1">
      <c r="E195" s="45"/>
      <c r="G195" s="46"/>
      <c r="H195" s="46"/>
      <c r="I195" s="46"/>
      <c r="J195" s="46"/>
      <c r="K195" s="46"/>
      <c r="L195" s="46"/>
      <c r="M195" s="46"/>
      <c r="N195" s="46"/>
      <c r="O195" s="46"/>
    </row>
    <row r="196" ht="15.75" customHeight="1">
      <c r="E196" s="45"/>
      <c r="G196" s="46"/>
      <c r="H196" s="46"/>
      <c r="I196" s="46"/>
      <c r="J196" s="46"/>
      <c r="K196" s="46"/>
      <c r="L196" s="46"/>
      <c r="M196" s="46"/>
      <c r="N196" s="46"/>
      <c r="O196" s="46"/>
    </row>
    <row r="197" ht="15.75" customHeight="1">
      <c r="E197" s="45"/>
      <c r="G197" s="46"/>
      <c r="H197" s="46"/>
      <c r="I197" s="46"/>
      <c r="J197" s="46"/>
      <c r="K197" s="46"/>
      <c r="L197" s="46"/>
      <c r="M197" s="46"/>
      <c r="N197" s="46"/>
      <c r="O197" s="46"/>
    </row>
    <row r="198" ht="15.75" customHeight="1">
      <c r="E198" s="45"/>
      <c r="G198" s="46"/>
      <c r="H198" s="46"/>
      <c r="I198" s="46"/>
      <c r="J198" s="46"/>
      <c r="K198" s="46"/>
      <c r="L198" s="46"/>
      <c r="M198" s="46"/>
      <c r="N198" s="46"/>
      <c r="O198" s="46"/>
    </row>
    <row r="199" ht="15.75" customHeight="1">
      <c r="E199" s="45"/>
      <c r="G199" s="46"/>
      <c r="H199" s="46"/>
      <c r="I199" s="46"/>
      <c r="J199" s="46"/>
      <c r="K199" s="46"/>
      <c r="L199" s="46"/>
      <c r="M199" s="46"/>
      <c r="N199" s="46"/>
      <c r="O199" s="46"/>
    </row>
    <row r="200" ht="15.75" customHeight="1">
      <c r="E200" s="45"/>
      <c r="G200" s="46"/>
      <c r="H200" s="46"/>
      <c r="I200" s="46"/>
      <c r="J200" s="46"/>
      <c r="K200" s="46"/>
      <c r="L200" s="46"/>
      <c r="M200" s="46"/>
      <c r="N200" s="46"/>
      <c r="O200" s="46"/>
    </row>
    <row r="201" ht="15.75" customHeight="1">
      <c r="E201" s="45"/>
      <c r="G201" s="46"/>
      <c r="H201" s="46"/>
      <c r="I201" s="46"/>
      <c r="J201" s="46"/>
      <c r="K201" s="46"/>
      <c r="L201" s="46"/>
      <c r="M201" s="46"/>
      <c r="N201" s="46"/>
      <c r="O201" s="46"/>
    </row>
    <row r="202" ht="15.75" customHeight="1">
      <c r="E202" s="45"/>
      <c r="G202" s="46"/>
      <c r="H202" s="46"/>
      <c r="I202" s="46"/>
      <c r="J202" s="46"/>
      <c r="K202" s="46"/>
      <c r="L202" s="46"/>
      <c r="M202" s="46"/>
      <c r="N202" s="46"/>
      <c r="O202" s="46"/>
    </row>
    <row r="203" ht="15.75" customHeight="1">
      <c r="E203" s="45"/>
      <c r="G203" s="46"/>
      <c r="H203" s="46"/>
      <c r="I203" s="46"/>
      <c r="J203" s="46"/>
      <c r="K203" s="46"/>
      <c r="L203" s="46"/>
      <c r="M203" s="46"/>
      <c r="N203" s="46"/>
      <c r="O203" s="46"/>
    </row>
    <row r="204" ht="15.75" customHeight="1">
      <c r="E204" s="45"/>
      <c r="G204" s="46"/>
      <c r="H204" s="46"/>
      <c r="I204" s="46"/>
      <c r="J204" s="46"/>
      <c r="K204" s="46"/>
      <c r="L204" s="46"/>
      <c r="M204" s="46"/>
      <c r="N204" s="46"/>
      <c r="O204" s="46"/>
    </row>
    <row r="205" ht="15.75" customHeight="1">
      <c r="E205" s="45"/>
      <c r="G205" s="46"/>
      <c r="H205" s="46"/>
      <c r="I205" s="46"/>
      <c r="J205" s="46"/>
      <c r="K205" s="46"/>
      <c r="L205" s="46"/>
      <c r="M205" s="46"/>
      <c r="N205" s="46"/>
      <c r="O205" s="46"/>
    </row>
    <row r="206" ht="15.75" customHeight="1">
      <c r="E206" s="45"/>
      <c r="G206" s="46"/>
      <c r="H206" s="46"/>
      <c r="I206" s="46"/>
      <c r="J206" s="46"/>
      <c r="K206" s="46"/>
      <c r="L206" s="46"/>
      <c r="M206" s="46"/>
      <c r="N206" s="46"/>
      <c r="O206" s="46"/>
    </row>
    <row r="207" ht="15.75" customHeight="1">
      <c r="E207" s="45"/>
      <c r="G207" s="46"/>
      <c r="H207" s="46"/>
      <c r="I207" s="46"/>
      <c r="J207" s="46"/>
      <c r="K207" s="46"/>
      <c r="L207" s="46"/>
      <c r="M207" s="46"/>
      <c r="N207" s="46"/>
      <c r="O207" s="46"/>
    </row>
    <row r="208" ht="15.75" customHeight="1">
      <c r="E208" s="45"/>
      <c r="G208" s="46"/>
      <c r="H208" s="46"/>
      <c r="I208" s="46"/>
      <c r="J208" s="46"/>
      <c r="K208" s="46"/>
      <c r="L208" s="46"/>
      <c r="M208" s="46"/>
      <c r="N208" s="46"/>
      <c r="O208" s="46"/>
    </row>
    <row r="209" ht="15.75" customHeight="1">
      <c r="E209" s="45"/>
      <c r="G209" s="46"/>
      <c r="H209" s="46"/>
      <c r="I209" s="46"/>
      <c r="J209" s="46"/>
      <c r="K209" s="46"/>
      <c r="L209" s="46"/>
      <c r="M209" s="46"/>
      <c r="N209" s="46"/>
      <c r="O209" s="46"/>
    </row>
    <row r="210" ht="15.75" customHeight="1">
      <c r="E210" s="45"/>
      <c r="G210" s="46"/>
      <c r="H210" s="46"/>
      <c r="I210" s="46"/>
      <c r="J210" s="46"/>
      <c r="K210" s="46"/>
      <c r="L210" s="46"/>
      <c r="M210" s="46"/>
      <c r="N210" s="46"/>
      <c r="O210" s="46"/>
    </row>
    <row r="211" ht="15.75" customHeight="1">
      <c r="E211" s="45"/>
      <c r="G211" s="46"/>
      <c r="H211" s="46"/>
      <c r="I211" s="46"/>
      <c r="J211" s="46"/>
      <c r="K211" s="46"/>
      <c r="L211" s="46"/>
      <c r="M211" s="46"/>
      <c r="N211" s="46"/>
      <c r="O211" s="46"/>
    </row>
    <row r="212" ht="15.75" customHeight="1">
      <c r="E212" s="45"/>
      <c r="G212" s="46"/>
      <c r="H212" s="46"/>
      <c r="I212" s="46"/>
      <c r="J212" s="46"/>
      <c r="K212" s="46"/>
      <c r="L212" s="46"/>
      <c r="M212" s="46"/>
      <c r="N212" s="46"/>
      <c r="O212" s="46"/>
    </row>
    <row r="213" ht="15.75" customHeight="1">
      <c r="E213" s="45"/>
      <c r="G213" s="46"/>
      <c r="H213" s="46"/>
      <c r="I213" s="46"/>
      <c r="J213" s="46"/>
      <c r="K213" s="46"/>
      <c r="L213" s="46"/>
      <c r="M213" s="46"/>
      <c r="N213" s="46"/>
      <c r="O213" s="46"/>
    </row>
    <row r="214" ht="15.75" customHeight="1">
      <c r="E214" s="45"/>
      <c r="G214" s="46"/>
      <c r="H214" s="46"/>
      <c r="I214" s="46"/>
      <c r="J214" s="46"/>
      <c r="K214" s="46"/>
      <c r="L214" s="46"/>
      <c r="M214" s="46"/>
      <c r="N214" s="46"/>
      <c r="O214" s="46"/>
    </row>
    <row r="215" ht="15.75" customHeight="1">
      <c r="E215" s="45"/>
      <c r="G215" s="46"/>
      <c r="H215" s="46"/>
      <c r="I215" s="46"/>
      <c r="J215" s="46"/>
      <c r="K215" s="46"/>
      <c r="L215" s="46"/>
      <c r="M215" s="46"/>
      <c r="N215" s="46"/>
      <c r="O215" s="46"/>
    </row>
    <row r="216" ht="15.75" customHeight="1">
      <c r="E216" s="45"/>
      <c r="G216" s="46"/>
      <c r="H216" s="46"/>
      <c r="I216" s="46"/>
      <c r="J216" s="46"/>
      <c r="K216" s="46"/>
      <c r="L216" s="46"/>
      <c r="M216" s="46"/>
      <c r="N216" s="46"/>
      <c r="O216" s="46"/>
    </row>
    <row r="217" ht="15.75" customHeight="1">
      <c r="E217" s="45"/>
      <c r="G217" s="46"/>
      <c r="H217" s="46"/>
      <c r="I217" s="46"/>
      <c r="J217" s="46"/>
      <c r="K217" s="46"/>
      <c r="L217" s="46"/>
      <c r="M217" s="46"/>
      <c r="N217" s="46"/>
      <c r="O217" s="46"/>
    </row>
    <row r="218" ht="15.75" customHeight="1">
      <c r="E218" s="45"/>
      <c r="G218" s="46"/>
      <c r="H218" s="46"/>
      <c r="I218" s="46"/>
      <c r="J218" s="46"/>
      <c r="K218" s="46"/>
      <c r="L218" s="46"/>
      <c r="M218" s="46"/>
      <c r="N218" s="46"/>
      <c r="O218" s="46"/>
    </row>
    <row r="219" ht="15.75" customHeight="1">
      <c r="E219" s="45"/>
      <c r="G219" s="46"/>
      <c r="H219" s="46"/>
      <c r="I219" s="46"/>
      <c r="J219" s="46"/>
      <c r="K219" s="46"/>
      <c r="L219" s="46"/>
      <c r="M219" s="46"/>
      <c r="N219" s="46"/>
      <c r="O219" s="46"/>
    </row>
    <row r="220" ht="15.75" customHeight="1">
      <c r="E220" s="45"/>
      <c r="G220" s="46"/>
      <c r="H220" s="46"/>
      <c r="I220" s="46"/>
      <c r="J220" s="46"/>
      <c r="K220" s="46"/>
      <c r="L220" s="46"/>
      <c r="M220" s="46"/>
      <c r="N220" s="46"/>
      <c r="O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G4"/>
    <mergeCell ref="H2:K2"/>
    <mergeCell ref="H3:I3"/>
    <mergeCell ref="J3:K3"/>
    <mergeCell ref="L2:N3"/>
    <mergeCell ref="O2:O4"/>
    <mergeCell ref="B1:O1"/>
    <mergeCell ref="A2:A4"/>
    <mergeCell ref="B2:B4"/>
    <mergeCell ref="C2:C4"/>
    <mergeCell ref="D2:D4"/>
    <mergeCell ref="E2:E4"/>
    <mergeCell ref="F2:F4"/>
  </mergeCells>
  <conditionalFormatting sqref="G2:G1000">
    <cfRule type="containsText" dxfId="0" priority="1" operator="containsText" text="High">
      <formula>NOT(ISERROR(SEARCH(("High"),(G2))))</formula>
    </cfRule>
  </conditionalFormatting>
  <conditionalFormatting sqref="G2:G1000">
    <cfRule type="containsText" dxfId="0" priority="2" operator="containsText" text="Medium">
      <formula>NOT(ISERROR(SEARCH(("Medium"),(G2))))</formula>
    </cfRule>
  </conditionalFormatting>
  <conditionalFormatting sqref="G2:G1000">
    <cfRule type="containsText" dxfId="0" priority="3" operator="containsText" text="Low">
      <formula>NOT(ISERROR(SEARCH(("Low"),(G2))))</formula>
    </cfRule>
  </conditionalFormatting>
  <conditionalFormatting sqref="I5:I1000 K5:N8">
    <cfRule type="containsText" dxfId="0" priority="4" operator="containsText" text="OK">
      <formula>NOT(ISERROR(SEARCH(("OK"),(I5))))</formula>
    </cfRule>
  </conditionalFormatting>
  <conditionalFormatting sqref="I5:I1000 K5:N8">
    <cfRule type="containsText" dxfId="1" priority="5" operator="containsText" text="NA">
      <formula>NOT(ISERROR(SEARCH(("NA"),(I5))))</formula>
    </cfRule>
  </conditionalFormatting>
  <dataValidations>
    <dataValidation type="list" allowBlank="1" sqref="H5:H8 J5:J8">
      <formula1>"x,●"</formula1>
    </dataValidation>
    <dataValidation type="list" allowBlank="1" sqref="I5:I8 K5:N8">
      <formula1>"OK,NG,NA"</formula1>
    </dataValidation>
    <dataValidation type="list" allowBlank="1" showErrorMessage="1" sqref="G5:G8">
      <formula1>"High,Medium,Low"</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3.5"/>
    <col customWidth="1" min="2" max="4" width="33.13"/>
    <col customWidth="1" min="5" max="5" width="40.88"/>
    <col customWidth="1" min="6" max="6" width="38.75"/>
    <col customWidth="1" min="12" max="14" width="14.5"/>
  </cols>
  <sheetData>
    <row r="1" ht="15.75" customHeight="1">
      <c r="A1" s="23" t="s">
        <v>22</v>
      </c>
      <c r="B1" s="24" t="s">
        <v>541</v>
      </c>
      <c r="C1" s="16"/>
      <c r="D1" s="16"/>
      <c r="E1" s="16"/>
      <c r="F1" s="16"/>
      <c r="G1" s="16"/>
      <c r="H1" s="16"/>
      <c r="I1" s="16"/>
      <c r="J1" s="16"/>
      <c r="K1" s="16"/>
      <c r="L1" s="16"/>
      <c r="M1" s="16"/>
      <c r="N1" s="16"/>
      <c r="O1" s="17"/>
    </row>
    <row r="2" ht="15.75" customHeight="1">
      <c r="A2" s="25" t="s">
        <v>24</v>
      </c>
      <c r="B2" s="26" t="s">
        <v>25</v>
      </c>
      <c r="C2" s="26" t="s">
        <v>26</v>
      </c>
      <c r="D2" s="26" t="s">
        <v>27</v>
      </c>
      <c r="E2" s="26" t="s">
        <v>28</v>
      </c>
      <c r="F2" s="26" t="s">
        <v>29</v>
      </c>
      <c r="G2" s="27" t="s">
        <v>30</v>
      </c>
      <c r="H2" s="28" t="s">
        <v>31</v>
      </c>
      <c r="I2" s="5"/>
      <c r="J2" s="5"/>
      <c r="K2" s="6"/>
      <c r="L2" s="29" t="s">
        <v>32</v>
      </c>
      <c r="N2" s="30"/>
      <c r="O2" s="31" t="s">
        <v>33</v>
      </c>
    </row>
    <row r="3" ht="15.75" customHeight="1">
      <c r="A3" s="32"/>
      <c r="B3" s="30"/>
      <c r="C3" s="30"/>
      <c r="D3" s="30"/>
      <c r="E3" s="30"/>
      <c r="F3" s="30"/>
      <c r="G3" s="30"/>
      <c r="H3" s="28" t="s">
        <v>34</v>
      </c>
      <c r="I3" s="5"/>
      <c r="J3" s="33" t="s">
        <v>35</v>
      </c>
      <c r="K3" s="17"/>
      <c r="L3" s="5"/>
      <c r="M3" s="5"/>
      <c r="N3" s="6"/>
      <c r="O3" s="30"/>
    </row>
    <row r="4" ht="15.75" customHeight="1">
      <c r="A4" s="34"/>
      <c r="B4" s="6"/>
      <c r="C4" s="6"/>
      <c r="D4" s="6"/>
      <c r="E4" s="6"/>
      <c r="F4" s="6"/>
      <c r="G4" s="6"/>
      <c r="H4" s="35" t="s">
        <v>36</v>
      </c>
      <c r="I4" s="35" t="s">
        <v>77</v>
      </c>
      <c r="J4" s="35" t="s">
        <v>36</v>
      </c>
      <c r="K4" s="35" t="s">
        <v>77</v>
      </c>
      <c r="L4" s="36" t="s">
        <v>38</v>
      </c>
      <c r="M4" s="37" t="s">
        <v>39</v>
      </c>
      <c r="N4" s="37" t="s">
        <v>40</v>
      </c>
      <c r="O4" s="6"/>
    </row>
    <row r="5" ht="15.75" customHeight="1">
      <c r="A5" s="38" t="str">
        <f>IF(F5&lt;&gt;"",""&amp;TEXT($B$1,"##")&amp;"_"&amp;(ROW()-4)-COUNTBLANK(F$5:F5),"")</f>
        <v>ST_1</v>
      </c>
      <c r="B5" s="39" t="s">
        <v>542</v>
      </c>
      <c r="C5" s="39" t="s">
        <v>543</v>
      </c>
      <c r="D5" s="39"/>
      <c r="E5" s="39" t="s">
        <v>544</v>
      </c>
      <c r="F5" s="39" t="s">
        <v>545</v>
      </c>
      <c r="G5" s="40" t="s">
        <v>45</v>
      </c>
      <c r="H5" s="41" t="s">
        <v>46</v>
      </c>
      <c r="I5" s="42"/>
      <c r="J5" s="41" t="s">
        <v>46</v>
      </c>
      <c r="K5" s="42"/>
      <c r="L5" s="42"/>
      <c r="M5" s="42"/>
      <c r="N5" s="42"/>
      <c r="O5" s="43"/>
    </row>
    <row r="6" ht="15.75" customHeight="1">
      <c r="A6" s="38"/>
      <c r="B6" s="39" t="s">
        <v>79</v>
      </c>
      <c r="C6" s="39" t="s">
        <v>546</v>
      </c>
      <c r="D6" s="39" t="s">
        <v>547</v>
      </c>
      <c r="E6" s="39" t="s">
        <v>548</v>
      </c>
      <c r="F6" s="39" t="s">
        <v>549</v>
      </c>
      <c r="G6" s="40" t="s">
        <v>45</v>
      </c>
      <c r="H6" s="41"/>
      <c r="I6" s="42"/>
      <c r="J6" s="41"/>
      <c r="K6" s="42"/>
      <c r="L6" s="42"/>
      <c r="M6" s="42"/>
      <c r="N6" s="42"/>
      <c r="O6" s="43"/>
    </row>
    <row r="7" ht="15.75" customHeight="1">
      <c r="A7" s="38" t="str">
        <f t="shared" ref="A7:A11" si="1">IF(F7&lt;&gt;"",""&amp;TEXT($B$1,"##")&amp;"_"&amp;(ROW()-4)-COUNTBLANK(F$5:F7),"")</f>
        <v>ST_3</v>
      </c>
      <c r="B7" s="39"/>
      <c r="C7" s="39" t="s">
        <v>550</v>
      </c>
      <c r="D7" s="39"/>
      <c r="E7" s="39" t="s">
        <v>551</v>
      </c>
      <c r="F7" s="39" t="s">
        <v>552</v>
      </c>
      <c r="G7" s="40" t="s">
        <v>45</v>
      </c>
      <c r="H7" s="41" t="s">
        <v>46</v>
      </c>
      <c r="I7" s="42"/>
      <c r="J7" s="41" t="s">
        <v>46</v>
      </c>
      <c r="K7" s="42"/>
      <c r="L7" s="42"/>
      <c r="M7" s="42"/>
      <c r="N7" s="42"/>
      <c r="O7" s="43"/>
    </row>
    <row r="8" ht="15.75" customHeight="1">
      <c r="A8" s="38" t="str">
        <f t="shared" si="1"/>
        <v>ST_4</v>
      </c>
      <c r="B8" s="39"/>
      <c r="C8" s="39" t="s">
        <v>553</v>
      </c>
      <c r="D8" s="39"/>
      <c r="E8" s="39" t="s">
        <v>554</v>
      </c>
      <c r="F8" s="39" t="s">
        <v>555</v>
      </c>
      <c r="G8" s="40" t="s">
        <v>45</v>
      </c>
      <c r="H8" s="41" t="s">
        <v>46</v>
      </c>
      <c r="I8" s="42"/>
      <c r="J8" s="41" t="s">
        <v>46</v>
      </c>
      <c r="K8" s="42"/>
      <c r="L8" s="42"/>
      <c r="M8" s="42"/>
      <c r="N8" s="42"/>
      <c r="O8" s="43"/>
    </row>
    <row r="9" ht="15.75" customHeight="1">
      <c r="A9" s="38" t="str">
        <f t="shared" si="1"/>
        <v>ST_5</v>
      </c>
      <c r="B9" s="39" t="s">
        <v>533</v>
      </c>
      <c r="C9" s="39" t="s">
        <v>556</v>
      </c>
      <c r="D9" s="39" t="s">
        <v>557</v>
      </c>
      <c r="E9" s="39" t="s">
        <v>558</v>
      </c>
      <c r="F9" s="39" t="s">
        <v>559</v>
      </c>
      <c r="G9" s="40" t="s">
        <v>45</v>
      </c>
      <c r="H9" s="41" t="s">
        <v>46</v>
      </c>
      <c r="I9" s="42"/>
      <c r="J9" s="41" t="s">
        <v>46</v>
      </c>
      <c r="K9" s="42"/>
      <c r="L9" s="42"/>
      <c r="M9" s="42"/>
      <c r="N9" s="42"/>
      <c r="O9" s="43"/>
    </row>
    <row r="10" ht="15.75" customHeight="1">
      <c r="A10" s="38" t="str">
        <f t="shared" si="1"/>
        <v>ST_6</v>
      </c>
      <c r="B10" s="39"/>
      <c r="C10" s="39" t="s">
        <v>560</v>
      </c>
      <c r="D10" s="39"/>
      <c r="E10" s="39" t="s">
        <v>561</v>
      </c>
      <c r="F10" s="39" t="s">
        <v>562</v>
      </c>
      <c r="G10" s="40" t="s">
        <v>45</v>
      </c>
      <c r="H10" s="41" t="s">
        <v>46</v>
      </c>
      <c r="I10" s="42"/>
      <c r="J10" s="41" t="s">
        <v>46</v>
      </c>
      <c r="K10" s="42"/>
      <c r="L10" s="42"/>
      <c r="M10" s="42"/>
      <c r="N10" s="42"/>
      <c r="O10" s="43"/>
    </row>
    <row r="11" ht="15.75" customHeight="1">
      <c r="A11" s="38" t="str">
        <f t="shared" si="1"/>
        <v>ST_7</v>
      </c>
      <c r="B11" s="39" t="s">
        <v>71</v>
      </c>
      <c r="C11" s="39" t="s">
        <v>563</v>
      </c>
      <c r="D11" s="39"/>
      <c r="E11" s="44" t="s">
        <v>564</v>
      </c>
      <c r="F11" s="39" t="s">
        <v>565</v>
      </c>
      <c r="G11" s="40" t="s">
        <v>45</v>
      </c>
      <c r="H11" s="41" t="s">
        <v>46</v>
      </c>
      <c r="I11" s="42"/>
      <c r="J11" s="41" t="s">
        <v>46</v>
      </c>
      <c r="K11" s="42"/>
      <c r="L11" s="42"/>
      <c r="M11" s="42"/>
      <c r="N11" s="42"/>
      <c r="O11" s="43"/>
    </row>
    <row r="12" ht="15.75" customHeight="1">
      <c r="E12" s="45"/>
      <c r="G12" s="46"/>
      <c r="H12" s="46"/>
      <c r="I12" s="46"/>
      <c r="J12" s="46"/>
      <c r="K12" s="46"/>
      <c r="L12" s="46"/>
      <c r="M12" s="46"/>
      <c r="N12" s="46"/>
      <c r="O12" s="46"/>
    </row>
    <row r="13" ht="15.75" customHeight="1">
      <c r="E13" s="45"/>
      <c r="G13" s="46"/>
      <c r="H13" s="46"/>
      <c r="I13" s="46"/>
      <c r="J13" s="46"/>
      <c r="K13" s="46"/>
      <c r="L13" s="46"/>
      <c r="M13" s="46"/>
      <c r="N13" s="46"/>
      <c r="O13" s="46"/>
    </row>
    <row r="14" ht="15.75" customHeight="1">
      <c r="E14" s="45"/>
      <c r="G14" s="46"/>
      <c r="H14" s="46"/>
      <c r="I14" s="46"/>
      <c r="J14" s="46"/>
      <c r="K14" s="46"/>
      <c r="L14" s="46"/>
      <c r="M14" s="46"/>
      <c r="N14" s="46"/>
      <c r="O14" s="46"/>
    </row>
    <row r="15" ht="15.75" customHeight="1">
      <c r="E15" s="45"/>
      <c r="G15" s="46"/>
      <c r="H15" s="46"/>
      <c r="I15" s="46"/>
      <c r="J15" s="46"/>
      <c r="K15" s="46"/>
      <c r="L15" s="46"/>
      <c r="M15" s="46"/>
      <c r="N15" s="46"/>
      <c r="O15" s="46"/>
    </row>
    <row r="16" ht="15.75" customHeight="1">
      <c r="E16" s="45"/>
      <c r="G16" s="46"/>
      <c r="H16" s="46"/>
      <c r="I16" s="46"/>
      <c r="J16" s="46"/>
      <c r="K16" s="46"/>
      <c r="L16" s="46"/>
      <c r="M16" s="46"/>
      <c r="N16" s="46"/>
      <c r="O16" s="46"/>
    </row>
    <row r="17" ht="15.75" customHeight="1">
      <c r="E17" s="45"/>
      <c r="G17" s="46"/>
      <c r="H17" s="46"/>
      <c r="I17" s="46"/>
      <c r="J17" s="46"/>
      <c r="K17" s="46"/>
      <c r="L17" s="46"/>
      <c r="M17" s="46"/>
      <c r="N17" s="46"/>
      <c r="O17" s="46"/>
    </row>
    <row r="18" ht="15.75" customHeight="1">
      <c r="E18" s="45"/>
      <c r="G18" s="46"/>
      <c r="H18" s="46"/>
      <c r="I18" s="46"/>
      <c r="J18" s="46"/>
      <c r="K18" s="46"/>
      <c r="L18" s="46"/>
      <c r="M18" s="46"/>
      <c r="N18" s="46"/>
      <c r="O18" s="46"/>
    </row>
    <row r="19" ht="15.75" customHeight="1">
      <c r="E19" s="45"/>
      <c r="G19" s="46"/>
      <c r="H19" s="46"/>
      <c r="I19" s="46"/>
      <c r="J19" s="46"/>
      <c r="K19" s="46"/>
      <c r="L19" s="46"/>
      <c r="M19" s="46"/>
      <c r="N19" s="46"/>
      <c r="O19" s="46"/>
    </row>
    <row r="20" ht="15.75" customHeight="1">
      <c r="E20" s="45"/>
      <c r="G20" s="46"/>
      <c r="H20" s="46"/>
      <c r="I20" s="46"/>
      <c r="J20" s="46"/>
      <c r="K20" s="46"/>
      <c r="L20" s="46"/>
      <c r="M20" s="46"/>
      <c r="N20" s="46"/>
      <c r="O20" s="46"/>
    </row>
    <row r="21" ht="15.75" customHeight="1">
      <c r="E21" s="45"/>
      <c r="G21" s="46"/>
      <c r="H21" s="46"/>
      <c r="I21" s="46"/>
      <c r="J21" s="46"/>
      <c r="K21" s="46"/>
      <c r="L21" s="46"/>
      <c r="M21" s="46"/>
      <c r="N21" s="46"/>
      <c r="O21" s="46"/>
    </row>
    <row r="22" ht="15.75" customHeight="1">
      <c r="E22" s="45"/>
      <c r="G22" s="46"/>
      <c r="H22" s="46"/>
      <c r="I22" s="46"/>
      <c r="J22" s="46"/>
      <c r="K22" s="46"/>
      <c r="L22" s="46"/>
      <c r="M22" s="46"/>
      <c r="N22" s="46"/>
      <c r="O22" s="46"/>
    </row>
    <row r="23" ht="15.75" customHeight="1">
      <c r="E23" s="45"/>
      <c r="G23" s="46"/>
      <c r="H23" s="46"/>
      <c r="I23" s="46"/>
      <c r="J23" s="46"/>
      <c r="K23" s="46"/>
      <c r="L23" s="46"/>
      <c r="M23" s="46"/>
      <c r="N23" s="46"/>
      <c r="O23" s="46"/>
    </row>
    <row r="24" ht="15.75" customHeight="1">
      <c r="E24" s="45"/>
      <c r="G24" s="46"/>
      <c r="H24" s="46"/>
      <c r="I24" s="46"/>
      <c r="J24" s="46"/>
      <c r="K24" s="46"/>
      <c r="L24" s="46"/>
      <c r="M24" s="46"/>
      <c r="N24" s="46"/>
      <c r="O24" s="46"/>
    </row>
    <row r="25" ht="15.75" customHeight="1">
      <c r="E25" s="45"/>
      <c r="G25" s="46"/>
      <c r="H25" s="46"/>
      <c r="I25" s="46"/>
      <c r="J25" s="46"/>
      <c r="K25" s="46"/>
      <c r="L25" s="46"/>
      <c r="M25" s="46"/>
      <c r="N25" s="46"/>
      <c r="O25" s="46"/>
    </row>
    <row r="26" ht="15.75" customHeight="1">
      <c r="E26" s="45"/>
      <c r="G26" s="46"/>
      <c r="H26" s="46"/>
      <c r="I26" s="46"/>
      <c r="J26" s="46"/>
      <c r="K26" s="46"/>
      <c r="L26" s="46"/>
      <c r="M26" s="46"/>
      <c r="N26" s="46"/>
      <c r="O26" s="46"/>
    </row>
    <row r="27" ht="15.75" customHeight="1">
      <c r="E27" s="45"/>
      <c r="G27" s="46"/>
      <c r="H27" s="46"/>
      <c r="I27" s="46"/>
      <c r="J27" s="46"/>
      <c r="K27" s="46"/>
      <c r="L27" s="46"/>
      <c r="M27" s="46"/>
      <c r="N27" s="46"/>
      <c r="O27" s="46"/>
    </row>
    <row r="28" ht="15.75" customHeight="1">
      <c r="E28" s="45"/>
      <c r="G28" s="46"/>
      <c r="H28" s="46"/>
      <c r="I28" s="46"/>
      <c r="J28" s="46"/>
      <c r="K28" s="46"/>
      <c r="L28" s="46"/>
      <c r="M28" s="46"/>
      <c r="N28" s="46"/>
      <c r="O28" s="46"/>
    </row>
    <row r="29" ht="15.75" customHeight="1">
      <c r="E29" s="45"/>
      <c r="G29" s="46"/>
      <c r="H29" s="46"/>
      <c r="I29" s="46"/>
      <c r="J29" s="46"/>
      <c r="K29" s="46"/>
      <c r="L29" s="46"/>
      <c r="M29" s="46"/>
      <c r="N29" s="46"/>
      <c r="O29" s="46"/>
    </row>
    <row r="30" ht="15.75" customHeight="1">
      <c r="E30" s="45"/>
      <c r="G30" s="46"/>
      <c r="H30" s="46"/>
      <c r="I30" s="46"/>
      <c r="J30" s="46"/>
      <c r="K30" s="46"/>
      <c r="L30" s="46"/>
      <c r="M30" s="46"/>
      <c r="N30" s="46"/>
      <c r="O30" s="46"/>
    </row>
    <row r="31" ht="15.75" customHeight="1">
      <c r="E31" s="45"/>
      <c r="G31" s="46"/>
      <c r="H31" s="46"/>
      <c r="I31" s="46"/>
      <c r="J31" s="46"/>
      <c r="K31" s="46"/>
      <c r="L31" s="46"/>
      <c r="M31" s="46"/>
      <c r="N31" s="46"/>
      <c r="O31" s="46"/>
    </row>
    <row r="32" ht="15.75" customHeight="1">
      <c r="E32" s="45"/>
      <c r="G32" s="46"/>
      <c r="H32" s="46"/>
      <c r="I32" s="46"/>
      <c r="J32" s="46"/>
      <c r="K32" s="46"/>
      <c r="L32" s="46"/>
      <c r="M32" s="46"/>
      <c r="N32" s="46"/>
      <c r="O32" s="46"/>
    </row>
    <row r="33" ht="15.75" customHeight="1">
      <c r="E33" s="45"/>
      <c r="G33" s="46"/>
      <c r="H33" s="46"/>
      <c r="I33" s="46"/>
      <c r="J33" s="46"/>
      <c r="K33" s="46"/>
      <c r="L33" s="46"/>
      <c r="M33" s="46"/>
      <c r="N33" s="46"/>
      <c r="O33" s="46"/>
    </row>
    <row r="34" ht="15.75" customHeight="1">
      <c r="E34" s="45"/>
      <c r="G34" s="46"/>
      <c r="H34" s="46"/>
      <c r="I34" s="46"/>
      <c r="J34" s="46"/>
      <c r="K34" s="46"/>
      <c r="L34" s="46"/>
      <c r="M34" s="46"/>
      <c r="N34" s="46"/>
      <c r="O34" s="46"/>
    </row>
    <row r="35" ht="15.75" customHeight="1">
      <c r="E35" s="45"/>
      <c r="G35" s="46"/>
      <c r="H35" s="46"/>
      <c r="I35" s="46"/>
      <c r="J35" s="46"/>
      <c r="K35" s="46"/>
      <c r="L35" s="46"/>
      <c r="M35" s="46"/>
      <c r="N35" s="46"/>
      <c r="O35" s="46"/>
    </row>
    <row r="36" ht="15.75" customHeight="1">
      <c r="E36" s="45"/>
      <c r="G36" s="46"/>
      <c r="H36" s="46"/>
      <c r="I36" s="46"/>
      <c r="J36" s="46"/>
      <c r="K36" s="46"/>
      <c r="L36" s="46"/>
      <c r="M36" s="46"/>
      <c r="N36" s="46"/>
      <c r="O36" s="46"/>
    </row>
    <row r="37" ht="15.75" customHeight="1">
      <c r="E37" s="45"/>
      <c r="G37" s="46"/>
      <c r="H37" s="46"/>
      <c r="I37" s="46"/>
      <c r="J37" s="46"/>
      <c r="K37" s="46"/>
      <c r="L37" s="46"/>
      <c r="M37" s="46"/>
      <c r="N37" s="46"/>
      <c r="O37" s="46"/>
    </row>
    <row r="38" ht="15.75" customHeight="1">
      <c r="E38" s="45"/>
      <c r="G38" s="46"/>
      <c r="H38" s="46"/>
      <c r="I38" s="46"/>
      <c r="J38" s="46"/>
      <c r="K38" s="46"/>
      <c r="L38" s="46"/>
      <c r="M38" s="46"/>
      <c r="N38" s="46"/>
      <c r="O38" s="46"/>
    </row>
    <row r="39" ht="15.75" customHeight="1">
      <c r="E39" s="45"/>
      <c r="G39" s="46"/>
      <c r="H39" s="46"/>
      <c r="I39" s="46"/>
      <c r="J39" s="46"/>
      <c r="K39" s="46"/>
      <c r="L39" s="46"/>
      <c r="M39" s="46"/>
      <c r="N39" s="46"/>
      <c r="O39" s="46"/>
    </row>
    <row r="40" ht="15.75" customHeight="1">
      <c r="E40" s="45"/>
      <c r="G40" s="46"/>
      <c r="H40" s="46"/>
      <c r="I40" s="46"/>
      <c r="J40" s="46"/>
      <c r="K40" s="46"/>
      <c r="L40" s="46"/>
      <c r="M40" s="46"/>
      <c r="N40" s="46"/>
      <c r="O40" s="46"/>
    </row>
    <row r="41" ht="15.75" customHeight="1">
      <c r="E41" s="45"/>
      <c r="G41" s="46"/>
      <c r="H41" s="46"/>
      <c r="I41" s="46"/>
      <c r="J41" s="46"/>
      <c r="K41" s="46"/>
      <c r="L41" s="46"/>
      <c r="M41" s="46"/>
      <c r="N41" s="46"/>
      <c r="O41" s="46"/>
    </row>
    <row r="42" ht="15.75" customHeight="1">
      <c r="E42" s="45"/>
      <c r="G42" s="46"/>
      <c r="H42" s="46"/>
      <c r="I42" s="46"/>
      <c r="J42" s="46"/>
      <c r="K42" s="46"/>
      <c r="L42" s="46"/>
      <c r="M42" s="46"/>
      <c r="N42" s="46"/>
      <c r="O42" s="46"/>
    </row>
    <row r="43" ht="15.75" customHeight="1">
      <c r="E43" s="45"/>
      <c r="G43" s="46"/>
      <c r="H43" s="46"/>
      <c r="I43" s="46"/>
      <c r="J43" s="46"/>
      <c r="K43" s="46"/>
      <c r="L43" s="46"/>
      <c r="M43" s="46"/>
      <c r="N43" s="46"/>
      <c r="O43" s="46"/>
    </row>
    <row r="44" ht="15.75" customHeight="1">
      <c r="E44" s="45"/>
      <c r="G44" s="46"/>
      <c r="H44" s="46"/>
      <c r="I44" s="46"/>
      <c r="J44" s="46"/>
      <c r="K44" s="46"/>
      <c r="L44" s="46"/>
      <c r="M44" s="46"/>
      <c r="N44" s="46"/>
      <c r="O44" s="46"/>
    </row>
    <row r="45" ht="15.75" customHeight="1">
      <c r="E45" s="45"/>
      <c r="G45" s="46"/>
      <c r="H45" s="46"/>
      <c r="I45" s="46"/>
      <c r="J45" s="46"/>
      <c r="K45" s="46"/>
      <c r="L45" s="46"/>
      <c r="M45" s="46"/>
      <c r="N45" s="46"/>
      <c r="O45" s="46"/>
    </row>
    <row r="46" ht="15.75" customHeight="1">
      <c r="E46" s="45"/>
      <c r="G46" s="46"/>
      <c r="H46" s="46"/>
      <c r="I46" s="46"/>
      <c r="J46" s="46"/>
      <c r="K46" s="46"/>
      <c r="L46" s="46"/>
      <c r="M46" s="46"/>
      <c r="N46" s="46"/>
      <c r="O46" s="46"/>
    </row>
    <row r="47" ht="15.75" customHeight="1">
      <c r="E47" s="45"/>
      <c r="G47" s="46"/>
      <c r="H47" s="46"/>
      <c r="I47" s="46"/>
      <c r="J47" s="46"/>
      <c r="K47" s="46"/>
      <c r="L47" s="46"/>
      <c r="M47" s="46"/>
      <c r="N47" s="46"/>
      <c r="O47" s="46"/>
    </row>
    <row r="48" ht="15.75" customHeight="1">
      <c r="E48" s="45"/>
      <c r="G48" s="46"/>
      <c r="H48" s="46"/>
      <c r="I48" s="46"/>
      <c r="J48" s="46"/>
      <c r="K48" s="46"/>
      <c r="L48" s="46"/>
      <c r="M48" s="46"/>
      <c r="N48" s="46"/>
      <c r="O48" s="46"/>
    </row>
    <row r="49" ht="15.75" customHeight="1">
      <c r="E49" s="45"/>
      <c r="G49" s="46"/>
      <c r="H49" s="46"/>
      <c r="I49" s="46"/>
      <c r="J49" s="46"/>
      <c r="K49" s="46"/>
      <c r="L49" s="46"/>
      <c r="M49" s="46"/>
      <c r="N49" s="46"/>
      <c r="O49" s="46"/>
    </row>
    <row r="50" ht="15.75" customHeight="1">
      <c r="E50" s="45"/>
      <c r="G50" s="46"/>
      <c r="H50" s="46"/>
      <c r="I50" s="46"/>
      <c r="J50" s="46"/>
      <c r="K50" s="46"/>
      <c r="L50" s="46"/>
      <c r="M50" s="46"/>
      <c r="N50" s="46"/>
      <c r="O50" s="46"/>
    </row>
    <row r="51" ht="15.75" customHeight="1">
      <c r="E51" s="45"/>
      <c r="G51" s="46"/>
      <c r="H51" s="46"/>
      <c r="I51" s="46"/>
      <c r="J51" s="46"/>
      <c r="K51" s="46"/>
      <c r="L51" s="46"/>
      <c r="M51" s="46"/>
      <c r="N51" s="46"/>
      <c r="O51" s="46"/>
    </row>
    <row r="52" ht="15.75" customHeight="1">
      <c r="E52" s="45"/>
      <c r="G52" s="46"/>
      <c r="H52" s="46"/>
      <c r="I52" s="46"/>
      <c r="J52" s="46"/>
      <c r="K52" s="46"/>
      <c r="L52" s="46"/>
      <c r="M52" s="46"/>
      <c r="N52" s="46"/>
      <c r="O52" s="46"/>
    </row>
    <row r="53" ht="15.75" customHeight="1">
      <c r="E53" s="45"/>
      <c r="G53" s="46"/>
      <c r="H53" s="46"/>
      <c r="I53" s="46"/>
      <c r="J53" s="46"/>
      <c r="K53" s="46"/>
      <c r="L53" s="46"/>
      <c r="M53" s="46"/>
      <c r="N53" s="46"/>
      <c r="O53" s="46"/>
    </row>
    <row r="54" ht="15.75" customHeight="1">
      <c r="E54" s="45"/>
      <c r="G54" s="46"/>
      <c r="H54" s="46"/>
      <c r="I54" s="46"/>
      <c r="J54" s="46"/>
      <c r="K54" s="46"/>
      <c r="L54" s="46"/>
      <c r="M54" s="46"/>
      <c r="N54" s="46"/>
      <c r="O54" s="46"/>
    </row>
    <row r="55" ht="15.75" customHeight="1">
      <c r="E55" s="45"/>
      <c r="G55" s="46"/>
      <c r="H55" s="46"/>
      <c r="I55" s="46"/>
      <c r="J55" s="46"/>
      <c r="K55" s="46"/>
      <c r="L55" s="46"/>
      <c r="M55" s="46"/>
      <c r="N55" s="46"/>
      <c r="O55" s="46"/>
    </row>
    <row r="56" ht="15.75" customHeight="1">
      <c r="E56" s="45"/>
      <c r="G56" s="46"/>
      <c r="H56" s="46"/>
      <c r="I56" s="46"/>
      <c r="J56" s="46"/>
      <c r="K56" s="46"/>
      <c r="L56" s="46"/>
      <c r="M56" s="46"/>
      <c r="N56" s="46"/>
      <c r="O56" s="46"/>
    </row>
    <row r="57" ht="15.75" customHeight="1">
      <c r="E57" s="45"/>
      <c r="G57" s="46"/>
      <c r="H57" s="46"/>
      <c r="I57" s="46"/>
      <c r="J57" s="46"/>
      <c r="K57" s="46"/>
      <c r="L57" s="46"/>
      <c r="M57" s="46"/>
      <c r="N57" s="46"/>
      <c r="O57" s="46"/>
    </row>
    <row r="58" ht="15.75" customHeight="1">
      <c r="E58" s="45"/>
      <c r="G58" s="46"/>
      <c r="H58" s="46"/>
      <c r="I58" s="46"/>
      <c r="J58" s="46"/>
      <c r="K58" s="46"/>
      <c r="L58" s="46"/>
      <c r="M58" s="46"/>
      <c r="N58" s="46"/>
      <c r="O58" s="46"/>
    </row>
    <row r="59" ht="15.75" customHeight="1">
      <c r="E59" s="45"/>
      <c r="G59" s="46"/>
      <c r="H59" s="46"/>
      <c r="I59" s="46"/>
      <c r="J59" s="46"/>
      <c r="K59" s="46"/>
      <c r="L59" s="46"/>
      <c r="M59" s="46"/>
      <c r="N59" s="46"/>
      <c r="O59" s="46"/>
    </row>
    <row r="60" ht="15.75" customHeight="1">
      <c r="E60" s="45"/>
      <c r="G60" s="46"/>
      <c r="H60" s="46"/>
      <c r="I60" s="46"/>
      <c r="J60" s="46"/>
      <c r="K60" s="46"/>
      <c r="L60" s="46"/>
      <c r="M60" s="46"/>
      <c r="N60" s="46"/>
      <c r="O60" s="46"/>
    </row>
    <row r="61" ht="15.75" customHeight="1">
      <c r="E61" s="45"/>
      <c r="G61" s="46"/>
      <c r="H61" s="46"/>
      <c r="I61" s="46"/>
      <c r="J61" s="46"/>
      <c r="K61" s="46"/>
      <c r="L61" s="46"/>
      <c r="M61" s="46"/>
      <c r="N61" s="46"/>
      <c r="O61" s="46"/>
    </row>
    <row r="62" ht="15.75" customHeight="1">
      <c r="E62" s="45"/>
      <c r="G62" s="46"/>
      <c r="H62" s="46"/>
      <c r="I62" s="46"/>
      <c r="J62" s="46"/>
      <c r="K62" s="46"/>
      <c r="L62" s="46"/>
      <c r="M62" s="46"/>
      <c r="N62" s="46"/>
      <c r="O62" s="46"/>
    </row>
    <row r="63" ht="15.75" customHeight="1">
      <c r="E63" s="45"/>
      <c r="G63" s="46"/>
      <c r="H63" s="46"/>
      <c r="I63" s="46"/>
      <c r="J63" s="46"/>
      <c r="K63" s="46"/>
      <c r="L63" s="46"/>
      <c r="M63" s="46"/>
      <c r="N63" s="46"/>
      <c r="O63" s="46"/>
    </row>
    <row r="64" ht="15.75" customHeight="1">
      <c r="E64" s="45"/>
      <c r="G64" s="46"/>
      <c r="H64" s="46"/>
      <c r="I64" s="46"/>
      <c r="J64" s="46"/>
      <c r="K64" s="46"/>
      <c r="L64" s="46"/>
      <c r="M64" s="46"/>
      <c r="N64" s="46"/>
      <c r="O64" s="46"/>
    </row>
    <row r="65" ht="15.75" customHeight="1">
      <c r="E65" s="45"/>
      <c r="G65" s="46"/>
      <c r="H65" s="46"/>
      <c r="I65" s="46"/>
      <c r="J65" s="46"/>
      <c r="K65" s="46"/>
      <c r="L65" s="46"/>
      <c r="M65" s="46"/>
      <c r="N65" s="46"/>
      <c r="O65" s="46"/>
    </row>
    <row r="66" ht="15.75" customHeight="1">
      <c r="E66" s="45"/>
      <c r="G66" s="46"/>
      <c r="H66" s="46"/>
      <c r="I66" s="46"/>
      <c r="J66" s="46"/>
      <c r="K66" s="46"/>
      <c r="L66" s="46"/>
      <c r="M66" s="46"/>
      <c r="N66" s="46"/>
      <c r="O66" s="46"/>
    </row>
    <row r="67" ht="15.75" customHeight="1">
      <c r="E67" s="45"/>
      <c r="G67" s="46"/>
      <c r="H67" s="46"/>
      <c r="I67" s="46"/>
      <c r="J67" s="46"/>
      <c r="K67" s="46"/>
      <c r="L67" s="46"/>
      <c r="M67" s="46"/>
      <c r="N67" s="46"/>
      <c r="O67" s="46"/>
    </row>
    <row r="68" ht="15.75" customHeight="1">
      <c r="E68" s="45"/>
      <c r="G68" s="46"/>
      <c r="H68" s="46"/>
      <c r="I68" s="46"/>
      <c r="J68" s="46"/>
      <c r="K68" s="46"/>
      <c r="L68" s="46"/>
      <c r="M68" s="46"/>
      <c r="N68" s="46"/>
      <c r="O68" s="46"/>
    </row>
    <row r="69" ht="15.75" customHeight="1">
      <c r="E69" s="45"/>
      <c r="G69" s="46"/>
      <c r="H69" s="46"/>
      <c r="I69" s="46"/>
      <c r="J69" s="46"/>
      <c r="K69" s="46"/>
      <c r="L69" s="46"/>
      <c r="M69" s="46"/>
      <c r="N69" s="46"/>
      <c r="O69" s="46"/>
    </row>
    <row r="70" ht="15.75" customHeight="1">
      <c r="E70" s="45"/>
      <c r="G70" s="46"/>
      <c r="H70" s="46"/>
      <c r="I70" s="46"/>
      <c r="J70" s="46"/>
      <c r="K70" s="46"/>
      <c r="L70" s="46"/>
      <c r="M70" s="46"/>
      <c r="N70" s="46"/>
      <c r="O70" s="46"/>
    </row>
    <row r="71" ht="15.75" customHeight="1">
      <c r="E71" s="45"/>
      <c r="G71" s="46"/>
      <c r="H71" s="46"/>
      <c r="I71" s="46"/>
      <c r="J71" s="46"/>
      <c r="K71" s="46"/>
      <c r="L71" s="46"/>
      <c r="M71" s="46"/>
      <c r="N71" s="46"/>
      <c r="O71" s="46"/>
    </row>
    <row r="72" ht="15.75" customHeight="1">
      <c r="E72" s="45"/>
      <c r="G72" s="46"/>
      <c r="H72" s="46"/>
      <c r="I72" s="46"/>
      <c r="J72" s="46"/>
      <c r="K72" s="46"/>
      <c r="L72" s="46"/>
      <c r="M72" s="46"/>
      <c r="N72" s="46"/>
      <c r="O72" s="46"/>
    </row>
    <row r="73" ht="15.75" customHeight="1">
      <c r="E73" s="45"/>
      <c r="G73" s="46"/>
      <c r="H73" s="46"/>
      <c r="I73" s="46"/>
      <c r="J73" s="46"/>
      <c r="K73" s="46"/>
      <c r="L73" s="46"/>
      <c r="M73" s="46"/>
      <c r="N73" s="46"/>
      <c r="O73" s="46"/>
    </row>
    <row r="74" ht="15.75" customHeight="1">
      <c r="E74" s="45"/>
      <c r="G74" s="46"/>
      <c r="H74" s="46"/>
      <c r="I74" s="46"/>
      <c r="J74" s="46"/>
      <c r="K74" s="46"/>
      <c r="L74" s="46"/>
      <c r="M74" s="46"/>
      <c r="N74" s="46"/>
      <c r="O74" s="46"/>
    </row>
    <row r="75" ht="15.75" customHeight="1">
      <c r="E75" s="45"/>
      <c r="G75" s="46"/>
      <c r="H75" s="46"/>
      <c r="I75" s="46"/>
      <c r="J75" s="46"/>
      <c r="K75" s="46"/>
      <c r="L75" s="46"/>
      <c r="M75" s="46"/>
      <c r="N75" s="46"/>
      <c r="O75" s="46"/>
    </row>
    <row r="76" ht="15.75" customHeight="1">
      <c r="E76" s="45"/>
      <c r="G76" s="46"/>
      <c r="H76" s="46"/>
      <c r="I76" s="46"/>
      <c r="J76" s="46"/>
      <c r="K76" s="46"/>
      <c r="L76" s="46"/>
      <c r="M76" s="46"/>
      <c r="N76" s="46"/>
      <c r="O76" s="46"/>
    </row>
    <row r="77" ht="15.75" customHeight="1">
      <c r="E77" s="45"/>
      <c r="G77" s="46"/>
      <c r="H77" s="46"/>
      <c r="I77" s="46"/>
      <c r="J77" s="46"/>
      <c r="K77" s="46"/>
      <c r="L77" s="46"/>
      <c r="M77" s="46"/>
      <c r="N77" s="46"/>
      <c r="O77" s="46"/>
    </row>
    <row r="78" ht="15.75" customHeight="1">
      <c r="E78" s="45"/>
      <c r="G78" s="46"/>
      <c r="H78" s="46"/>
      <c r="I78" s="46"/>
      <c r="J78" s="46"/>
      <c r="K78" s="46"/>
      <c r="L78" s="46"/>
      <c r="M78" s="46"/>
      <c r="N78" s="46"/>
      <c r="O78" s="46"/>
    </row>
    <row r="79" ht="15.75" customHeight="1">
      <c r="E79" s="45"/>
      <c r="G79" s="46"/>
      <c r="H79" s="46"/>
      <c r="I79" s="46"/>
      <c r="J79" s="46"/>
      <c r="K79" s="46"/>
      <c r="L79" s="46"/>
      <c r="M79" s="46"/>
      <c r="N79" s="46"/>
      <c r="O79" s="46"/>
    </row>
    <row r="80" ht="15.75" customHeight="1">
      <c r="E80" s="45"/>
      <c r="G80" s="46"/>
      <c r="H80" s="46"/>
      <c r="I80" s="46"/>
      <c r="J80" s="46"/>
      <c r="K80" s="46"/>
      <c r="L80" s="46"/>
      <c r="M80" s="46"/>
      <c r="N80" s="46"/>
      <c r="O80" s="46"/>
    </row>
    <row r="81" ht="15.75" customHeight="1">
      <c r="E81" s="45"/>
      <c r="G81" s="46"/>
      <c r="H81" s="46"/>
      <c r="I81" s="46"/>
      <c r="J81" s="46"/>
      <c r="K81" s="46"/>
      <c r="L81" s="46"/>
      <c r="M81" s="46"/>
      <c r="N81" s="46"/>
      <c r="O81" s="46"/>
    </row>
    <row r="82" ht="15.75" customHeight="1">
      <c r="E82" s="45"/>
      <c r="G82" s="46"/>
      <c r="H82" s="46"/>
      <c r="I82" s="46"/>
      <c r="J82" s="46"/>
      <c r="K82" s="46"/>
      <c r="L82" s="46"/>
      <c r="M82" s="46"/>
      <c r="N82" s="46"/>
      <c r="O82" s="46"/>
    </row>
    <row r="83" ht="15.75" customHeight="1">
      <c r="E83" s="45"/>
      <c r="G83" s="46"/>
      <c r="H83" s="46"/>
      <c r="I83" s="46"/>
      <c r="J83" s="46"/>
      <c r="K83" s="46"/>
      <c r="L83" s="46"/>
      <c r="M83" s="46"/>
      <c r="N83" s="46"/>
      <c r="O83" s="46"/>
    </row>
    <row r="84" ht="15.75" customHeight="1">
      <c r="E84" s="45"/>
      <c r="G84" s="46"/>
      <c r="H84" s="46"/>
      <c r="I84" s="46"/>
      <c r="J84" s="46"/>
      <c r="K84" s="46"/>
      <c r="L84" s="46"/>
      <c r="M84" s="46"/>
      <c r="N84" s="46"/>
      <c r="O84" s="46"/>
    </row>
    <row r="85" ht="15.75" customHeight="1">
      <c r="E85" s="45"/>
      <c r="G85" s="46"/>
      <c r="H85" s="46"/>
      <c r="I85" s="46"/>
      <c r="J85" s="46"/>
      <c r="K85" s="46"/>
      <c r="L85" s="46"/>
      <c r="M85" s="46"/>
      <c r="N85" s="46"/>
      <c r="O85" s="46"/>
    </row>
    <row r="86" ht="15.75" customHeight="1">
      <c r="E86" s="45"/>
      <c r="G86" s="46"/>
      <c r="H86" s="46"/>
      <c r="I86" s="46"/>
      <c r="J86" s="46"/>
      <c r="K86" s="46"/>
      <c r="L86" s="46"/>
      <c r="M86" s="46"/>
      <c r="N86" s="46"/>
      <c r="O86" s="46"/>
    </row>
    <row r="87" ht="15.75" customHeight="1">
      <c r="E87" s="45"/>
      <c r="G87" s="46"/>
      <c r="H87" s="46"/>
      <c r="I87" s="46"/>
      <c r="J87" s="46"/>
      <c r="K87" s="46"/>
      <c r="L87" s="46"/>
      <c r="M87" s="46"/>
      <c r="N87" s="46"/>
      <c r="O87" s="46"/>
    </row>
    <row r="88" ht="15.75" customHeight="1">
      <c r="E88" s="45"/>
      <c r="G88" s="46"/>
      <c r="H88" s="46"/>
      <c r="I88" s="46"/>
      <c r="J88" s="46"/>
      <c r="K88" s="46"/>
      <c r="L88" s="46"/>
      <c r="M88" s="46"/>
      <c r="N88" s="46"/>
      <c r="O88" s="46"/>
    </row>
    <row r="89" ht="15.75" customHeight="1">
      <c r="E89" s="45"/>
      <c r="G89" s="46"/>
      <c r="H89" s="46"/>
      <c r="I89" s="46"/>
      <c r="J89" s="46"/>
      <c r="K89" s="46"/>
      <c r="L89" s="46"/>
      <c r="M89" s="46"/>
      <c r="N89" s="46"/>
      <c r="O89" s="46"/>
    </row>
    <row r="90" ht="15.75" customHeight="1">
      <c r="E90" s="45"/>
      <c r="G90" s="46"/>
      <c r="H90" s="46"/>
      <c r="I90" s="46"/>
      <c r="J90" s="46"/>
      <c r="K90" s="46"/>
      <c r="L90" s="46"/>
      <c r="M90" s="46"/>
      <c r="N90" s="46"/>
      <c r="O90" s="46"/>
    </row>
    <row r="91" ht="15.75" customHeight="1">
      <c r="E91" s="45"/>
      <c r="G91" s="46"/>
      <c r="H91" s="46"/>
      <c r="I91" s="46"/>
      <c r="J91" s="46"/>
      <c r="K91" s="46"/>
      <c r="L91" s="46"/>
      <c r="M91" s="46"/>
      <c r="N91" s="46"/>
      <c r="O91" s="46"/>
    </row>
    <row r="92" ht="15.75" customHeight="1">
      <c r="E92" s="45"/>
      <c r="G92" s="46"/>
      <c r="H92" s="46"/>
      <c r="I92" s="46"/>
      <c r="J92" s="46"/>
      <c r="K92" s="46"/>
      <c r="L92" s="46"/>
      <c r="M92" s="46"/>
      <c r="N92" s="46"/>
      <c r="O92" s="46"/>
    </row>
    <row r="93" ht="15.75" customHeight="1">
      <c r="E93" s="45"/>
      <c r="G93" s="46"/>
      <c r="H93" s="46"/>
      <c r="I93" s="46"/>
      <c r="J93" s="46"/>
      <c r="K93" s="46"/>
      <c r="L93" s="46"/>
      <c r="M93" s="46"/>
      <c r="N93" s="46"/>
      <c r="O93" s="46"/>
    </row>
    <row r="94" ht="15.75" customHeight="1">
      <c r="E94" s="45"/>
      <c r="G94" s="46"/>
      <c r="H94" s="46"/>
      <c r="I94" s="46"/>
      <c r="J94" s="46"/>
      <c r="K94" s="46"/>
      <c r="L94" s="46"/>
      <c r="M94" s="46"/>
      <c r="N94" s="46"/>
      <c r="O94" s="46"/>
    </row>
    <row r="95" ht="15.75" customHeight="1">
      <c r="E95" s="45"/>
      <c r="G95" s="46"/>
      <c r="H95" s="46"/>
      <c r="I95" s="46"/>
      <c r="J95" s="46"/>
      <c r="K95" s="46"/>
      <c r="L95" s="46"/>
      <c r="M95" s="46"/>
      <c r="N95" s="46"/>
      <c r="O95" s="46"/>
    </row>
    <row r="96" ht="15.75" customHeight="1">
      <c r="E96" s="45"/>
      <c r="G96" s="46"/>
      <c r="H96" s="46"/>
      <c r="I96" s="46"/>
      <c r="J96" s="46"/>
      <c r="K96" s="46"/>
      <c r="L96" s="46"/>
      <c r="M96" s="46"/>
      <c r="N96" s="46"/>
      <c r="O96" s="46"/>
    </row>
    <row r="97" ht="15.75" customHeight="1">
      <c r="E97" s="45"/>
      <c r="G97" s="46"/>
      <c r="H97" s="46"/>
      <c r="I97" s="46"/>
      <c r="J97" s="46"/>
      <c r="K97" s="46"/>
      <c r="L97" s="46"/>
      <c r="M97" s="46"/>
      <c r="N97" s="46"/>
      <c r="O97" s="46"/>
    </row>
    <row r="98" ht="15.75" customHeight="1">
      <c r="E98" s="45"/>
      <c r="G98" s="46"/>
      <c r="H98" s="46"/>
      <c r="I98" s="46"/>
      <c r="J98" s="46"/>
      <c r="K98" s="46"/>
      <c r="L98" s="46"/>
      <c r="M98" s="46"/>
      <c r="N98" s="46"/>
      <c r="O98" s="46"/>
    </row>
    <row r="99" ht="15.75" customHeight="1">
      <c r="E99" s="45"/>
      <c r="G99" s="46"/>
      <c r="H99" s="46"/>
      <c r="I99" s="46"/>
      <c r="J99" s="46"/>
      <c r="K99" s="46"/>
      <c r="L99" s="46"/>
      <c r="M99" s="46"/>
      <c r="N99" s="46"/>
      <c r="O99" s="46"/>
    </row>
    <row r="100" ht="15.75" customHeight="1">
      <c r="E100" s="45"/>
      <c r="G100" s="46"/>
      <c r="H100" s="46"/>
      <c r="I100" s="46"/>
      <c r="J100" s="46"/>
      <c r="K100" s="46"/>
      <c r="L100" s="46"/>
      <c r="M100" s="46"/>
      <c r="N100" s="46"/>
      <c r="O100" s="46"/>
    </row>
    <row r="101" ht="15.75" customHeight="1">
      <c r="E101" s="45"/>
      <c r="G101" s="46"/>
      <c r="H101" s="46"/>
      <c r="I101" s="46"/>
      <c r="J101" s="46"/>
      <c r="K101" s="46"/>
      <c r="L101" s="46"/>
      <c r="M101" s="46"/>
      <c r="N101" s="46"/>
      <c r="O101" s="46"/>
    </row>
    <row r="102" ht="15.75" customHeight="1">
      <c r="E102" s="45"/>
      <c r="G102" s="46"/>
      <c r="H102" s="46"/>
      <c r="I102" s="46"/>
      <c r="J102" s="46"/>
      <c r="K102" s="46"/>
      <c r="L102" s="46"/>
      <c r="M102" s="46"/>
      <c r="N102" s="46"/>
      <c r="O102" s="46"/>
    </row>
    <row r="103" ht="15.75" customHeight="1">
      <c r="E103" s="45"/>
      <c r="G103" s="46"/>
      <c r="H103" s="46"/>
      <c r="I103" s="46"/>
      <c r="J103" s="46"/>
      <c r="K103" s="46"/>
      <c r="L103" s="46"/>
      <c r="M103" s="46"/>
      <c r="N103" s="46"/>
      <c r="O103" s="46"/>
    </row>
    <row r="104" ht="15.75" customHeight="1">
      <c r="E104" s="45"/>
      <c r="G104" s="46"/>
      <c r="H104" s="46"/>
      <c r="I104" s="46"/>
      <c r="J104" s="46"/>
      <c r="K104" s="46"/>
      <c r="L104" s="46"/>
      <c r="M104" s="46"/>
      <c r="N104" s="46"/>
      <c r="O104" s="46"/>
    </row>
    <row r="105" ht="15.75" customHeight="1">
      <c r="E105" s="45"/>
      <c r="G105" s="46"/>
      <c r="H105" s="46"/>
      <c r="I105" s="46"/>
      <c r="J105" s="46"/>
      <c r="K105" s="46"/>
      <c r="L105" s="46"/>
      <c r="M105" s="46"/>
      <c r="N105" s="46"/>
      <c r="O105" s="46"/>
    </row>
    <row r="106" ht="15.75" customHeight="1">
      <c r="E106" s="45"/>
      <c r="G106" s="46"/>
      <c r="H106" s="46"/>
      <c r="I106" s="46"/>
      <c r="J106" s="46"/>
      <c r="K106" s="46"/>
      <c r="L106" s="46"/>
      <c r="M106" s="46"/>
      <c r="N106" s="46"/>
      <c r="O106" s="46"/>
    </row>
    <row r="107" ht="15.75" customHeight="1">
      <c r="E107" s="45"/>
      <c r="G107" s="46"/>
      <c r="H107" s="46"/>
      <c r="I107" s="46"/>
      <c r="J107" s="46"/>
      <c r="K107" s="46"/>
      <c r="L107" s="46"/>
      <c r="M107" s="46"/>
      <c r="N107" s="46"/>
      <c r="O107" s="46"/>
    </row>
    <row r="108" ht="15.75" customHeight="1">
      <c r="E108" s="45"/>
      <c r="G108" s="46"/>
      <c r="H108" s="46"/>
      <c r="I108" s="46"/>
      <c r="J108" s="46"/>
      <c r="K108" s="46"/>
      <c r="L108" s="46"/>
      <c r="M108" s="46"/>
      <c r="N108" s="46"/>
      <c r="O108" s="46"/>
    </row>
    <row r="109" ht="15.75" customHeight="1">
      <c r="E109" s="45"/>
      <c r="G109" s="46"/>
      <c r="H109" s="46"/>
      <c r="I109" s="46"/>
      <c r="J109" s="46"/>
      <c r="K109" s="46"/>
      <c r="L109" s="46"/>
      <c r="M109" s="46"/>
      <c r="N109" s="46"/>
      <c r="O109" s="46"/>
    </row>
    <row r="110" ht="15.75" customHeight="1">
      <c r="E110" s="45"/>
      <c r="G110" s="46"/>
      <c r="H110" s="46"/>
      <c r="I110" s="46"/>
      <c r="J110" s="46"/>
      <c r="K110" s="46"/>
      <c r="L110" s="46"/>
      <c r="M110" s="46"/>
      <c r="N110" s="46"/>
      <c r="O110" s="46"/>
    </row>
    <row r="111" ht="15.75" customHeight="1">
      <c r="E111" s="45"/>
      <c r="G111" s="46"/>
      <c r="H111" s="46"/>
      <c r="I111" s="46"/>
      <c r="J111" s="46"/>
      <c r="K111" s="46"/>
      <c r="L111" s="46"/>
      <c r="M111" s="46"/>
      <c r="N111" s="46"/>
      <c r="O111" s="46"/>
    </row>
    <row r="112" ht="15.75" customHeight="1">
      <c r="E112" s="45"/>
      <c r="G112" s="46"/>
      <c r="H112" s="46"/>
      <c r="I112" s="46"/>
      <c r="J112" s="46"/>
      <c r="K112" s="46"/>
      <c r="L112" s="46"/>
      <c r="M112" s="46"/>
      <c r="N112" s="46"/>
      <c r="O112" s="46"/>
    </row>
    <row r="113" ht="15.75" customHeight="1">
      <c r="E113" s="45"/>
      <c r="G113" s="46"/>
      <c r="H113" s="46"/>
      <c r="I113" s="46"/>
      <c r="J113" s="46"/>
      <c r="K113" s="46"/>
      <c r="L113" s="46"/>
      <c r="M113" s="46"/>
      <c r="N113" s="46"/>
      <c r="O113" s="46"/>
    </row>
    <row r="114" ht="15.75" customHeight="1">
      <c r="E114" s="45"/>
      <c r="G114" s="46"/>
      <c r="H114" s="46"/>
      <c r="I114" s="46"/>
      <c r="J114" s="46"/>
      <c r="K114" s="46"/>
      <c r="L114" s="46"/>
      <c r="M114" s="46"/>
      <c r="N114" s="46"/>
      <c r="O114" s="46"/>
    </row>
    <row r="115" ht="15.75" customHeight="1">
      <c r="E115" s="45"/>
      <c r="G115" s="46"/>
      <c r="H115" s="46"/>
      <c r="I115" s="46"/>
      <c r="J115" s="46"/>
      <c r="K115" s="46"/>
      <c r="L115" s="46"/>
      <c r="M115" s="46"/>
      <c r="N115" s="46"/>
      <c r="O115" s="46"/>
    </row>
    <row r="116" ht="15.75" customHeight="1">
      <c r="E116" s="45"/>
      <c r="G116" s="46"/>
      <c r="H116" s="46"/>
      <c r="I116" s="46"/>
      <c r="J116" s="46"/>
      <c r="K116" s="46"/>
      <c r="L116" s="46"/>
      <c r="M116" s="46"/>
      <c r="N116" s="46"/>
      <c r="O116" s="46"/>
    </row>
    <row r="117" ht="15.75" customHeight="1">
      <c r="E117" s="45"/>
      <c r="G117" s="46"/>
      <c r="H117" s="46"/>
      <c r="I117" s="46"/>
      <c r="J117" s="46"/>
      <c r="K117" s="46"/>
      <c r="L117" s="46"/>
      <c r="M117" s="46"/>
      <c r="N117" s="46"/>
      <c r="O117" s="46"/>
    </row>
    <row r="118" ht="15.75" customHeight="1">
      <c r="E118" s="45"/>
      <c r="G118" s="46"/>
      <c r="H118" s="46"/>
      <c r="I118" s="46"/>
      <c r="J118" s="46"/>
      <c r="K118" s="46"/>
      <c r="L118" s="46"/>
      <c r="M118" s="46"/>
      <c r="N118" s="46"/>
      <c r="O118" s="46"/>
    </row>
    <row r="119" ht="15.75" customHeight="1">
      <c r="E119" s="45"/>
      <c r="G119" s="46"/>
      <c r="H119" s="46"/>
      <c r="I119" s="46"/>
      <c r="J119" s="46"/>
      <c r="K119" s="46"/>
      <c r="L119" s="46"/>
      <c r="M119" s="46"/>
      <c r="N119" s="46"/>
      <c r="O119" s="46"/>
    </row>
    <row r="120" ht="15.75" customHeight="1">
      <c r="E120" s="45"/>
      <c r="G120" s="46"/>
      <c r="H120" s="46"/>
      <c r="I120" s="46"/>
      <c r="J120" s="46"/>
      <c r="K120" s="46"/>
      <c r="L120" s="46"/>
      <c r="M120" s="46"/>
      <c r="N120" s="46"/>
      <c r="O120" s="46"/>
    </row>
    <row r="121" ht="15.75" customHeight="1">
      <c r="E121" s="45"/>
      <c r="G121" s="46"/>
      <c r="H121" s="46"/>
      <c r="I121" s="46"/>
      <c r="J121" s="46"/>
      <c r="K121" s="46"/>
      <c r="L121" s="46"/>
      <c r="M121" s="46"/>
      <c r="N121" s="46"/>
      <c r="O121" s="46"/>
    </row>
    <row r="122" ht="15.75" customHeight="1">
      <c r="E122" s="45"/>
      <c r="G122" s="46"/>
      <c r="H122" s="46"/>
      <c r="I122" s="46"/>
      <c r="J122" s="46"/>
      <c r="K122" s="46"/>
      <c r="L122" s="46"/>
      <c r="M122" s="46"/>
      <c r="N122" s="46"/>
      <c r="O122" s="46"/>
    </row>
    <row r="123" ht="15.75" customHeight="1">
      <c r="E123" s="45"/>
      <c r="G123" s="46"/>
      <c r="H123" s="46"/>
      <c r="I123" s="46"/>
      <c r="J123" s="46"/>
      <c r="K123" s="46"/>
      <c r="L123" s="46"/>
      <c r="M123" s="46"/>
      <c r="N123" s="46"/>
      <c r="O123" s="46"/>
    </row>
    <row r="124" ht="15.75" customHeight="1">
      <c r="E124" s="45"/>
      <c r="G124" s="46"/>
      <c r="H124" s="46"/>
      <c r="I124" s="46"/>
      <c r="J124" s="46"/>
      <c r="K124" s="46"/>
      <c r="L124" s="46"/>
      <c r="M124" s="46"/>
      <c r="N124" s="46"/>
      <c r="O124" s="46"/>
    </row>
    <row r="125" ht="15.75" customHeight="1">
      <c r="E125" s="45"/>
      <c r="G125" s="46"/>
      <c r="H125" s="46"/>
      <c r="I125" s="46"/>
      <c r="J125" s="46"/>
      <c r="K125" s="46"/>
      <c r="L125" s="46"/>
      <c r="M125" s="46"/>
      <c r="N125" s="46"/>
      <c r="O125" s="46"/>
    </row>
    <row r="126" ht="15.75" customHeight="1">
      <c r="E126" s="45"/>
      <c r="G126" s="46"/>
      <c r="H126" s="46"/>
      <c r="I126" s="46"/>
      <c r="J126" s="46"/>
      <c r="K126" s="46"/>
      <c r="L126" s="46"/>
      <c r="M126" s="46"/>
      <c r="N126" s="46"/>
      <c r="O126" s="46"/>
    </row>
    <row r="127" ht="15.75" customHeight="1">
      <c r="E127" s="45"/>
      <c r="G127" s="46"/>
      <c r="H127" s="46"/>
      <c r="I127" s="46"/>
      <c r="J127" s="46"/>
      <c r="K127" s="46"/>
      <c r="L127" s="46"/>
      <c r="M127" s="46"/>
      <c r="N127" s="46"/>
      <c r="O127" s="46"/>
    </row>
    <row r="128" ht="15.75" customHeight="1">
      <c r="E128" s="45"/>
      <c r="G128" s="46"/>
      <c r="H128" s="46"/>
      <c r="I128" s="46"/>
      <c r="J128" s="46"/>
      <c r="K128" s="46"/>
      <c r="L128" s="46"/>
      <c r="M128" s="46"/>
      <c r="N128" s="46"/>
      <c r="O128" s="46"/>
    </row>
    <row r="129" ht="15.75" customHeight="1">
      <c r="E129" s="45"/>
      <c r="G129" s="46"/>
      <c r="H129" s="46"/>
      <c r="I129" s="46"/>
      <c r="J129" s="46"/>
      <c r="K129" s="46"/>
      <c r="L129" s="46"/>
      <c r="M129" s="46"/>
      <c r="N129" s="46"/>
      <c r="O129" s="46"/>
    </row>
    <row r="130" ht="15.75" customHeight="1">
      <c r="E130" s="45"/>
      <c r="G130" s="46"/>
      <c r="H130" s="46"/>
      <c r="I130" s="46"/>
      <c r="J130" s="46"/>
      <c r="K130" s="46"/>
      <c r="L130" s="46"/>
      <c r="M130" s="46"/>
      <c r="N130" s="46"/>
      <c r="O130" s="46"/>
    </row>
    <row r="131" ht="15.75" customHeight="1">
      <c r="E131" s="45"/>
      <c r="G131" s="46"/>
      <c r="H131" s="46"/>
      <c r="I131" s="46"/>
      <c r="J131" s="46"/>
      <c r="K131" s="46"/>
      <c r="L131" s="46"/>
      <c r="M131" s="46"/>
      <c r="N131" s="46"/>
      <c r="O131" s="46"/>
    </row>
    <row r="132" ht="15.75" customHeight="1">
      <c r="E132" s="45"/>
      <c r="G132" s="46"/>
      <c r="H132" s="46"/>
      <c r="I132" s="46"/>
      <c r="J132" s="46"/>
      <c r="K132" s="46"/>
      <c r="L132" s="46"/>
      <c r="M132" s="46"/>
      <c r="N132" s="46"/>
      <c r="O132" s="46"/>
    </row>
    <row r="133" ht="15.75" customHeight="1">
      <c r="E133" s="45"/>
      <c r="G133" s="46"/>
      <c r="H133" s="46"/>
      <c r="I133" s="46"/>
      <c r="J133" s="46"/>
      <c r="K133" s="46"/>
      <c r="L133" s="46"/>
      <c r="M133" s="46"/>
      <c r="N133" s="46"/>
      <c r="O133" s="46"/>
    </row>
    <row r="134" ht="15.75" customHeight="1">
      <c r="E134" s="45"/>
      <c r="G134" s="46"/>
      <c r="H134" s="46"/>
      <c r="I134" s="46"/>
      <c r="J134" s="46"/>
      <c r="K134" s="46"/>
      <c r="L134" s="46"/>
      <c r="M134" s="46"/>
      <c r="N134" s="46"/>
      <c r="O134" s="46"/>
    </row>
    <row r="135" ht="15.75" customHeight="1">
      <c r="E135" s="45"/>
      <c r="G135" s="46"/>
      <c r="H135" s="46"/>
      <c r="I135" s="46"/>
      <c r="J135" s="46"/>
      <c r="K135" s="46"/>
      <c r="L135" s="46"/>
      <c r="M135" s="46"/>
      <c r="N135" s="46"/>
      <c r="O135" s="46"/>
    </row>
    <row r="136" ht="15.75" customHeight="1">
      <c r="E136" s="45"/>
      <c r="G136" s="46"/>
      <c r="H136" s="46"/>
      <c r="I136" s="46"/>
      <c r="J136" s="46"/>
      <c r="K136" s="46"/>
      <c r="L136" s="46"/>
      <c r="M136" s="46"/>
      <c r="N136" s="46"/>
      <c r="O136" s="46"/>
    </row>
    <row r="137" ht="15.75" customHeight="1">
      <c r="E137" s="45"/>
      <c r="G137" s="46"/>
      <c r="H137" s="46"/>
      <c r="I137" s="46"/>
      <c r="J137" s="46"/>
      <c r="K137" s="46"/>
      <c r="L137" s="46"/>
      <c r="M137" s="46"/>
      <c r="N137" s="46"/>
      <c r="O137" s="46"/>
    </row>
    <row r="138" ht="15.75" customHeight="1">
      <c r="E138" s="45"/>
      <c r="G138" s="46"/>
      <c r="H138" s="46"/>
      <c r="I138" s="46"/>
      <c r="J138" s="46"/>
      <c r="K138" s="46"/>
      <c r="L138" s="46"/>
      <c r="M138" s="46"/>
      <c r="N138" s="46"/>
      <c r="O138" s="46"/>
    </row>
    <row r="139" ht="15.75" customHeight="1">
      <c r="E139" s="45"/>
      <c r="G139" s="46"/>
      <c r="H139" s="46"/>
      <c r="I139" s="46"/>
      <c r="J139" s="46"/>
      <c r="K139" s="46"/>
      <c r="L139" s="46"/>
      <c r="M139" s="46"/>
      <c r="N139" s="46"/>
      <c r="O139" s="46"/>
    </row>
    <row r="140" ht="15.75" customHeight="1">
      <c r="E140" s="45"/>
      <c r="G140" s="46"/>
      <c r="H140" s="46"/>
      <c r="I140" s="46"/>
      <c r="J140" s="46"/>
      <c r="K140" s="46"/>
      <c r="L140" s="46"/>
      <c r="M140" s="46"/>
      <c r="N140" s="46"/>
      <c r="O140" s="46"/>
    </row>
    <row r="141" ht="15.75" customHeight="1">
      <c r="E141" s="45"/>
      <c r="G141" s="46"/>
      <c r="H141" s="46"/>
      <c r="I141" s="46"/>
      <c r="J141" s="46"/>
      <c r="K141" s="46"/>
      <c r="L141" s="46"/>
      <c r="M141" s="46"/>
      <c r="N141" s="46"/>
      <c r="O141" s="46"/>
    </row>
    <row r="142" ht="15.75" customHeight="1">
      <c r="E142" s="45"/>
      <c r="G142" s="46"/>
      <c r="H142" s="46"/>
      <c r="I142" s="46"/>
      <c r="J142" s="46"/>
      <c r="K142" s="46"/>
      <c r="L142" s="46"/>
      <c r="M142" s="46"/>
      <c r="N142" s="46"/>
      <c r="O142" s="46"/>
    </row>
    <row r="143" ht="15.75" customHeight="1">
      <c r="E143" s="45"/>
      <c r="G143" s="46"/>
      <c r="H143" s="46"/>
      <c r="I143" s="46"/>
      <c r="J143" s="46"/>
      <c r="K143" s="46"/>
      <c r="L143" s="46"/>
      <c r="M143" s="46"/>
      <c r="N143" s="46"/>
      <c r="O143" s="46"/>
    </row>
    <row r="144" ht="15.75" customHeight="1">
      <c r="E144" s="45"/>
      <c r="G144" s="46"/>
      <c r="H144" s="46"/>
      <c r="I144" s="46"/>
      <c r="J144" s="46"/>
      <c r="K144" s="46"/>
      <c r="L144" s="46"/>
      <c r="M144" s="46"/>
      <c r="N144" s="46"/>
      <c r="O144" s="46"/>
    </row>
    <row r="145" ht="15.75" customHeight="1">
      <c r="E145" s="45"/>
      <c r="G145" s="46"/>
      <c r="H145" s="46"/>
      <c r="I145" s="46"/>
      <c r="J145" s="46"/>
      <c r="K145" s="46"/>
      <c r="L145" s="46"/>
      <c r="M145" s="46"/>
      <c r="N145" s="46"/>
      <c r="O145" s="46"/>
    </row>
    <row r="146" ht="15.75" customHeight="1">
      <c r="E146" s="45"/>
      <c r="G146" s="46"/>
      <c r="H146" s="46"/>
      <c r="I146" s="46"/>
      <c r="J146" s="46"/>
      <c r="K146" s="46"/>
      <c r="L146" s="46"/>
      <c r="M146" s="46"/>
      <c r="N146" s="46"/>
      <c r="O146" s="46"/>
    </row>
    <row r="147" ht="15.75" customHeight="1">
      <c r="E147" s="45"/>
      <c r="G147" s="46"/>
      <c r="H147" s="46"/>
      <c r="I147" s="46"/>
      <c r="J147" s="46"/>
      <c r="K147" s="46"/>
      <c r="L147" s="46"/>
      <c r="M147" s="46"/>
      <c r="N147" s="46"/>
      <c r="O147" s="46"/>
    </row>
    <row r="148" ht="15.75" customHeight="1">
      <c r="E148" s="45"/>
      <c r="G148" s="46"/>
      <c r="H148" s="46"/>
      <c r="I148" s="46"/>
      <c r="J148" s="46"/>
      <c r="K148" s="46"/>
      <c r="L148" s="46"/>
      <c r="M148" s="46"/>
      <c r="N148" s="46"/>
      <c r="O148" s="46"/>
    </row>
    <row r="149" ht="15.75" customHeight="1">
      <c r="E149" s="45"/>
      <c r="G149" s="46"/>
      <c r="H149" s="46"/>
      <c r="I149" s="46"/>
      <c r="J149" s="46"/>
      <c r="K149" s="46"/>
      <c r="L149" s="46"/>
      <c r="M149" s="46"/>
      <c r="N149" s="46"/>
      <c r="O149" s="46"/>
    </row>
    <row r="150" ht="15.75" customHeight="1">
      <c r="E150" s="45"/>
      <c r="G150" s="46"/>
      <c r="H150" s="46"/>
      <c r="I150" s="46"/>
      <c r="J150" s="46"/>
      <c r="K150" s="46"/>
      <c r="L150" s="46"/>
      <c r="M150" s="46"/>
      <c r="N150" s="46"/>
      <c r="O150" s="46"/>
    </row>
    <row r="151" ht="15.75" customHeight="1">
      <c r="E151" s="45"/>
      <c r="G151" s="46"/>
      <c r="H151" s="46"/>
      <c r="I151" s="46"/>
      <c r="J151" s="46"/>
      <c r="K151" s="46"/>
      <c r="L151" s="46"/>
      <c r="M151" s="46"/>
      <c r="N151" s="46"/>
      <c r="O151" s="46"/>
    </row>
    <row r="152" ht="15.75" customHeight="1">
      <c r="E152" s="45"/>
      <c r="G152" s="46"/>
      <c r="H152" s="46"/>
      <c r="I152" s="46"/>
      <c r="J152" s="46"/>
      <c r="K152" s="46"/>
      <c r="L152" s="46"/>
      <c r="M152" s="46"/>
      <c r="N152" s="46"/>
      <c r="O152" s="46"/>
    </row>
    <row r="153" ht="15.75" customHeight="1">
      <c r="E153" s="45"/>
      <c r="G153" s="46"/>
      <c r="H153" s="46"/>
      <c r="I153" s="46"/>
      <c r="J153" s="46"/>
      <c r="K153" s="46"/>
      <c r="L153" s="46"/>
      <c r="M153" s="46"/>
      <c r="N153" s="46"/>
      <c r="O153" s="46"/>
    </row>
    <row r="154" ht="15.75" customHeight="1">
      <c r="E154" s="45"/>
      <c r="G154" s="46"/>
      <c r="H154" s="46"/>
      <c r="I154" s="46"/>
      <c r="J154" s="46"/>
      <c r="K154" s="46"/>
      <c r="L154" s="46"/>
      <c r="M154" s="46"/>
      <c r="N154" s="46"/>
      <c r="O154" s="46"/>
    </row>
    <row r="155" ht="15.75" customHeight="1">
      <c r="E155" s="45"/>
      <c r="G155" s="46"/>
      <c r="H155" s="46"/>
      <c r="I155" s="46"/>
      <c r="J155" s="46"/>
      <c r="K155" s="46"/>
      <c r="L155" s="46"/>
      <c r="M155" s="46"/>
      <c r="N155" s="46"/>
      <c r="O155" s="46"/>
    </row>
    <row r="156" ht="15.75" customHeight="1">
      <c r="E156" s="45"/>
      <c r="G156" s="46"/>
      <c r="H156" s="46"/>
      <c r="I156" s="46"/>
      <c r="J156" s="46"/>
      <c r="K156" s="46"/>
      <c r="L156" s="46"/>
      <c r="M156" s="46"/>
      <c r="N156" s="46"/>
      <c r="O156" s="46"/>
    </row>
    <row r="157" ht="15.75" customHeight="1">
      <c r="E157" s="45"/>
      <c r="G157" s="46"/>
      <c r="H157" s="46"/>
      <c r="I157" s="46"/>
      <c r="J157" s="46"/>
      <c r="K157" s="46"/>
      <c r="L157" s="46"/>
      <c r="M157" s="46"/>
      <c r="N157" s="46"/>
      <c r="O157" s="46"/>
    </row>
    <row r="158" ht="15.75" customHeight="1">
      <c r="E158" s="45"/>
      <c r="G158" s="46"/>
      <c r="H158" s="46"/>
      <c r="I158" s="46"/>
      <c r="J158" s="46"/>
      <c r="K158" s="46"/>
      <c r="L158" s="46"/>
      <c r="M158" s="46"/>
      <c r="N158" s="46"/>
      <c r="O158" s="46"/>
    </row>
    <row r="159" ht="15.75" customHeight="1">
      <c r="E159" s="45"/>
      <c r="G159" s="46"/>
      <c r="H159" s="46"/>
      <c r="I159" s="46"/>
      <c r="J159" s="46"/>
      <c r="K159" s="46"/>
      <c r="L159" s="46"/>
      <c r="M159" s="46"/>
      <c r="N159" s="46"/>
      <c r="O159" s="46"/>
    </row>
    <row r="160" ht="15.75" customHeight="1">
      <c r="E160" s="45"/>
      <c r="G160" s="46"/>
      <c r="H160" s="46"/>
      <c r="I160" s="46"/>
      <c r="J160" s="46"/>
      <c r="K160" s="46"/>
      <c r="L160" s="46"/>
      <c r="M160" s="46"/>
      <c r="N160" s="46"/>
      <c r="O160" s="46"/>
    </row>
    <row r="161" ht="15.75" customHeight="1">
      <c r="E161" s="45"/>
      <c r="G161" s="46"/>
      <c r="H161" s="46"/>
      <c r="I161" s="46"/>
      <c r="J161" s="46"/>
      <c r="K161" s="46"/>
      <c r="L161" s="46"/>
      <c r="M161" s="46"/>
      <c r="N161" s="46"/>
      <c r="O161" s="46"/>
    </row>
    <row r="162" ht="15.75" customHeight="1">
      <c r="E162" s="45"/>
      <c r="G162" s="46"/>
      <c r="H162" s="46"/>
      <c r="I162" s="46"/>
      <c r="J162" s="46"/>
      <c r="K162" s="46"/>
      <c r="L162" s="46"/>
      <c r="M162" s="46"/>
      <c r="N162" s="46"/>
      <c r="O162" s="46"/>
    </row>
    <row r="163" ht="15.75" customHeight="1">
      <c r="E163" s="45"/>
      <c r="G163" s="46"/>
      <c r="H163" s="46"/>
      <c r="I163" s="46"/>
      <c r="J163" s="46"/>
      <c r="K163" s="46"/>
      <c r="L163" s="46"/>
      <c r="M163" s="46"/>
      <c r="N163" s="46"/>
      <c r="O163" s="46"/>
    </row>
    <row r="164" ht="15.75" customHeight="1">
      <c r="E164" s="45"/>
      <c r="G164" s="46"/>
      <c r="H164" s="46"/>
      <c r="I164" s="46"/>
      <c r="J164" s="46"/>
      <c r="K164" s="46"/>
      <c r="L164" s="46"/>
      <c r="M164" s="46"/>
      <c r="N164" s="46"/>
      <c r="O164" s="46"/>
    </row>
    <row r="165" ht="15.75" customHeight="1">
      <c r="E165" s="45"/>
      <c r="G165" s="46"/>
      <c r="H165" s="46"/>
      <c r="I165" s="46"/>
      <c r="J165" s="46"/>
      <c r="K165" s="46"/>
      <c r="L165" s="46"/>
      <c r="M165" s="46"/>
      <c r="N165" s="46"/>
      <c r="O165" s="46"/>
    </row>
    <row r="166" ht="15.75" customHeight="1">
      <c r="E166" s="45"/>
      <c r="G166" s="46"/>
      <c r="H166" s="46"/>
      <c r="I166" s="46"/>
      <c r="J166" s="46"/>
      <c r="K166" s="46"/>
      <c r="L166" s="46"/>
      <c r="M166" s="46"/>
      <c r="N166" s="46"/>
      <c r="O166" s="46"/>
    </row>
    <row r="167" ht="15.75" customHeight="1">
      <c r="E167" s="45"/>
      <c r="G167" s="46"/>
      <c r="H167" s="46"/>
      <c r="I167" s="46"/>
      <c r="J167" s="46"/>
      <c r="K167" s="46"/>
      <c r="L167" s="46"/>
      <c r="M167" s="46"/>
      <c r="N167" s="46"/>
      <c r="O167" s="46"/>
    </row>
    <row r="168" ht="15.75" customHeight="1">
      <c r="E168" s="45"/>
      <c r="G168" s="46"/>
      <c r="H168" s="46"/>
      <c r="I168" s="46"/>
      <c r="J168" s="46"/>
      <c r="K168" s="46"/>
      <c r="L168" s="46"/>
      <c r="M168" s="46"/>
      <c r="N168" s="46"/>
      <c r="O168" s="46"/>
    </row>
    <row r="169" ht="15.75" customHeight="1">
      <c r="E169" s="45"/>
      <c r="G169" s="46"/>
      <c r="H169" s="46"/>
      <c r="I169" s="46"/>
      <c r="J169" s="46"/>
      <c r="K169" s="46"/>
      <c r="L169" s="46"/>
      <c r="M169" s="46"/>
      <c r="N169" s="46"/>
      <c r="O169" s="46"/>
    </row>
    <row r="170" ht="15.75" customHeight="1">
      <c r="E170" s="45"/>
      <c r="G170" s="46"/>
      <c r="H170" s="46"/>
      <c r="I170" s="46"/>
      <c r="J170" s="46"/>
      <c r="K170" s="46"/>
      <c r="L170" s="46"/>
      <c r="M170" s="46"/>
      <c r="N170" s="46"/>
      <c r="O170" s="46"/>
    </row>
    <row r="171" ht="15.75" customHeight="1">
      <c r="E171" s="45"/>
      <c r="G171" s="46"/>
      <c r="H171" s="46"/>
      <c r="I171" s="46"/>
      <c r="J171" s="46"/>
      <c r="K171" s="46"/>
      <c r="L171" s="46"/>
      <c r="M171" s="46"/>
      <c r="N171" s="46"/>
      <c r="O171" s="46"/>
    </row>
    <row r="172" ht="15.75" customHeight="1">
      <c r="E172" s="45"/>
      <c r="G172" s="46"/>
      <c r="H172" s="46"/>
      <c r="I172" s="46"/>
      <c r="J172" s="46"/>
      <c r="K172" s="46"/>
      <c r="L172" s="46"/>
      <c r="M172" s="46"/>
      <c r="N172" s="46"/>
      <c r="O172" s="46"/>
    </row>
    <row r="173" ht="15.75" customHeight="1">
      <c r="E173" s="45"/>
      <c r="G173" s="46"/>
      <c r="H173" s="46"/>
      <c r="I173" s="46"/>
      <c r="J173" s="46"/>
      <c r="K173" s="46"/>
      <c r="L173" s="46"/>
      <c r="M173" s="46"/>
      <c r="N173" s="46"/>
      <c r="O173" s="46"/>
    </row>
    <row r="174" ht="15.75" customHeight="1">
      <c r="E174" s="45"/>
      <c r="G174" s="46"/>
      <c r="H174" s="46"/>
      <c r="I174" s="46"/>
      <c r="J174" s="46"/>
      <c r="K174" s="46"/>
      <c r="L174" s="46"/>
      <c r="M174" s="46"/>
      <c r="N174" s="46"/>
      <c r="O174" s="46"/>
    </row>
    <row r="175" ht="15.75" customHeight="1">
      <c r="E175" s="45"/>
      <c r="G175" s="46"/>
      <c r="H175" s="46"/>
      <c r="I175" s="46"/>
      <c r="J175" s="46"/>
      <c r="K175" s="46"/>
      <c r="L175" s="46"/>
      <c r="M175" s="46"/>
      <c r="N175" s="46"/>
      <c r="O175" s="46"/>
    </row>
    <row r="176" ht="15.75" customHeight="1">
      <c r="E176" s="45"/>
      <c r="G176" s="46"/>
      <c r="H176" s="46"/>
      <c r="I176" s="46"/>
      <c r="J176" s="46"/>
      <c r="K176" s="46"/>
      <c r="L176" s="46"/>
      <c r="M176" s="46"/>
      <c r="N176" s="46"/>
      <c r="O176" s="46"/>
    </row>
    <row r="177" ht="15.75" customHeight="1">
      <c r="E177" s="45"/>
      <c r="G177" s="46"/>
      <c r="H177" s="46"/>
      <c r="I177" s="46"/>
      <c r="J177" s="46"/>
      <c r="K177" s="46"/>
      <c r="L177" s="46"/>
      <c r="M177" s="46"/>
      <c r="N177" s="46"/>
      <c r="O177" s="46"/>
    </row>
    <row r="178" ht="15.75" customHeight="1">
      <c r="E178" s="45"/>
      <c r="G178" s="46"/>
      <c r="H178" s="46"/>
      <c r="I178" s="46"/>
      <c r="J178" s="46"/>
      <c r="K178" s="46"/>
      <c r="L178" s="46"/>
      <c r="M178" s="46"/>
      <c r="N178" s="46"/>
      <c r="O178" s="46"/>
    </row>
    <row r="179" ht="15.75" customHeight="1">
      <c r="E179" s="45"/>
      <c r="G179" s="46"/>
      <c r="H179" s="46"/>
      <c r="I179" s="46"/>
      <c r="J179" s="46"/>
      <c r="K179" s="46"/>
      <c r="L179" s="46"/>
      <c r="M179" s="46"/>
      <c r="N179" s="46"/>
      <c r="O179" s="46"/>
    </row>
    <row r="180" ht="15.75" customHeight="1">
      <c r="E180" s="45"/>
      <c r="G180" s="46"/>
      <c r="H180" s="46"/>
      <c r="I180" s="46"/>
      <c r="J180" s="46"/>
      <c r="K180" s="46"/>
      <c r="L180" s="46"/>
      <c r="M180" s="46"/>
      <c r="N180" s="46"/>
      <c r="O180" s="46"/>
    </row>
    <row r="181" ht="15.75" customHeight="1">
      <c r="E181" s="45"/>
      <c r="G181" s="46"/>
      <c r="H181" s="46"/>
      <c r="I181" s="46"/>
      <c r="J181" s="46"/>
      <c r="K181" s="46"/>
      <c r="L181" s="46"/>
      <c r="M181" s="46"/>
      <c r="N181" s="46"/>
      <c r="O181" s="46"/>
    </row>
    <row r="182" ht="15.75" customHeight="1">
      <c r="E182" s="45"/>
      <c r="G182" s="46"/>
      <c r="H182" s="46"/>
      <c r="I182" s="46"/>
      <c r="J182" s="46"/>
      <c r="K182" s="46"/>
      <c r="L182" s="46"/>
      <c r="M182" s="46"/>
      <c r="N182" s="46"/>
      <c r="O182" s="46"/>
    </row>
    <row r="183" ht="15.75" customHeight="1">
      <c r="E183" s="45"/>
      <c r="G183" s="46"/>
      <c r="H183" s="46"/>
      <c r="I183" s="46"/>
      <c r="J183" s="46"/>
      <c r="K183" s="46"/>
      <c r="L183" s="46"/>
      <c r="M183" s="46"/>
      <c r="N183" s="46"/>
      <c r="O183" s="46"/>
    </row>
    <row r="184" ht="15.75" customHeight="1">
      <c r="E184" s="45"/>
      <c r="G184" s="46"/>
      <c r="H184" s="46"/>
      <c r="I184" s="46"/>
      <c r="J184" s="46"/>
      <c r="K184" s="46"/>
      <c r="L184" s="46"/>
      <c r="M184" s="46"/>
      <c r="N184" s="46"/>
      <c r="O184" s="46"/>
    </row>
    <row r="185" ht="15.75" customHeight="1">
      <c r="E185" s="45"/>
      <c r="G185" s="46"/>
      <c r="H185" s="46"/>
      <c r="I185" s="46"/>
      <c r="J185" s="46"/>
      <c r="K185" s="46"/>
      <c r="L185" s="46"/>
      <c r="M185" s="46"/>
      <c r="N185" s="46"/>
      <c r="O185" s="46"/>
    </row>
    <row r="186" ht="15.75" customHeight="1">
      <c r="E186" s="45"/>
      <c r="G186" s="46"/>
      <c r="H186" s="46"/>
      <c r="I186" s="46"/>
      <c r="J186" s="46"/>
      <c r="K186" s="46"/>
      <c r="L186" s="46"/>
      <c r="M186" s="46"/>
      <c r="N186" s="46"/>
      <c r="O186" s="46"/>
    </row>
    <row r="187" ht="15.75" customHeight="1">
      <c r="E187" s="45"/>
      <c r="G187" s="46"/>
      <c r="H187" s="46"/>
      <c r="I187" s="46"/>
      <c r="J187" s="46"/>
      <c r="K187" s="46"/>
      <c r="L187" s="46"/>
      <c r="M187" s="46"/>
      <c r="N187" s="46"/>
      <c r="O187" s="46"/>
    </row>
    <row r="188" ht="15.75" customHeight="1">
      <c r="E188" s="45"/>
      <c r="G188" s="46"/>
      <c r="H188" s="46"/>
      <c r="I188" s="46"/>
      <c r="J188" s="46"/>
      <c r="K188" s="46"/>
      <c r="L188" s="46"/>
      <c r="M188" s="46"/>
      <c r="N188" s="46"/>
      <c r="O188" s="46"/>
    </row>
    <row r="189" ht="15.75" customHeight="1">
      <c r="E189" s="45"/>
      <c r="G189" s="46"/>
      <c r="H189" s="46"/>
      <c r="I189" s="46"/>
      <c r="J189" s="46"/>
      <c r="K189" s="46"/>
      <c r="L189" s="46"/>
      <c r="M189" s="46"/>
      <c r="N189" s="46"/>
      <c r="O189" s="46"/>
    </row>
    <row r="190" ht="15.75" customHeight="1">
      <c r="E190" s="45"/>
      <c r="G190" s="46"/>
      <c r="H190" s="46"/>
      <c r="I190" s="46"/>
      <c r="J190" s="46"/>
      <c r="K190" s="46"/>
      <c r="L190" s="46"/>
      <c r="M190" s="46"/>
      <c r="N190" s="46"/>
      <c r="O190" s="46"/>
    </row>
    <row r="191" ht="15.75" customHeight="1">
      <c r="E191" s="45"/>
      <c r="G191" s="46"/>
      <c r="H191" s="46"/>
      <c r="I191" s="46"/>
      <c r="J191" s="46"/>
      <c r="K191" s="46"/>
      <c r="L191" s="46"/>
      <c r="M191" s="46"/>
      <c r="N191" s="46"/>
      <c r="O191" s="46"/>
    </row>
    <row r="192" ht="15.75" customHeight="1">
      <c r="E192" s="45"/>
      <c r="G192" s="46"/>
      <c r="H192" s="46"/>
      <c r="I192" s="46"/>
      <c r="J192" s="46"/>
      <c r="K192" s="46"/>
      <c r="L192" s="46"/>
      <c r="M192" s="46"/>
      <c r="N192" s="46"/>
      <c r="O192" s="46"/>
    </row>
    <row r="193" ht="15.75" customHeight="1">
      <c r="E193" s="45"/>
      <c r="G193" s="46"/>
      <c r="H193" s="46"/>
      <c r="I193" s="46"/>
      <c r="J193" s="46"/>
      <c r="K193" s="46"/>
      <c r="L193" s="46"/>
      <c r="M193" s="46"/>
      <c r="N193" s="46"/>
      <c r="O193" s="46"/>
    </row>
    <row r="194" ht="15.75" customHeight="1">
      <c r="E194" s="45"/>
      <c r="G194" s="46"/>
      <c r="H194" s="46"/>
      <c r="I194" s="46"/>
      <c r="J194" s="46"/>
      <c r="K194" s="46"/>
      <c r="L194" s="46"/>
      <c r="M194" s="46"/>
      <c r="N194" s="46"/>
      <c r="O194" s="46"/>
    </row>
    <row r="195" ht="15.75" customHeight="1">
      <c r="E195" s="45"/>
      <c r="G195" s="46"/>
      <c r="H195" s="46"/>
      <c r="I195" s="46"/>
      <c r="J195" s="46"/>
      <c r="K195" s="46"/>
      <c r="L195" s="46"/>
      <c r="M195" s="46"/>
      <c r="N195" s="46"/>
      <c r="O195" s="46"/>
    </row>
    <row r="196" ht="15.75" customHeight="1">
      <c r="E196" s="45"/>
      <c r="G196" s="46"/>
      <c r="H196" s="46"/>
      <c r="I196" s="46"/>
      <c r="J196" s="46"/>
      <c r="K196" s="46"/>
      <c r="L196" s="46"/>
      <c r="M196" s="46"/>
      <c r="N196" s="46"/>
      <c r="O196" s="46"/>
    </row>
    <row r="197" ht="15.75" customHeight="1">
      <c r="E197" s="45"/>
      <c r="G197" s="46"/>
      <c r="H197" s="46"/>
      <c r="I197" s="46"/>
      <c r="J197" s="46"/>
      <c r="K197" s="46"/>
      <c r="L197" s="46"/>
      <c r="M197" s="46"/>
      <c r="N197" s="46"/>
      <c r="O197" s="46"/>
    </row>
    <row r="198" ht="15.75" customHeight="1">
      <c r="E198" s="45"/>
      <c r="G198" s="46"/>
      <c r="H198" s="46"/>
      <c r="I198" s="46"/>
      <c r="J198" s="46"/>
      <c r="K198" s="46"/>
      <c r="L198" s="46"/>
      <c r="M198" s="46"/>
      <c r="N198" s="46"/>
      <c r="O198" s="46"/>
    </row>
    <row r="199" ht="15.75" customHeight="1">
      <c r="E199" s="45"/>
      <c r="G199" s="46"/>
      <c r="H199" s="46"/>
      <c r="I199" s="46"/>
      <c r="J199" s="46"/>
      <c r="K199" s="46"/>
      <c r="L199" s="46"/>
      <c r="M199" s="46"/>
      <c r="N199" s="46"/>
      <c r="O199" s="46"/>
    </row>
    <row r="200" ht="15.75" customHeight="1">
      <c r="E200" s="45"/>
      <c r="G200" s="46"/>
      <c r="H200" s="46"/>
      <c r="I200" s="46"/>
      <c r="J200" s="46"/>
      <c r="K200" s="46"/>
      <c r="L200" s="46"/>
      <c r="M200" s="46"/>
      <c r="N200" s="46"/>
      <c r="O200" s="46"/>
    </row>
    <row r="201" ht="15.75" customHeight="1">
      <c r="E201" s="45"/>
      <c r="G201" s="46"/>
      <c r="H201" s="46"/>
      <c r="I201" s="46"/>
      <c r="J201" s="46"/>
      <c r="K201" s="46"/>
      <c r="L201" s="46"/>
      <c r="M201" s="46"/>
      <c r="N201" s="46"/>
      <c r="O201" s="46"/>
    </row>
    <row r="202" ht="15.75" customHeight="1">
      <c r="E202" s="45"/>
      <c r="G202" s="46"/>
      <c r="H202" s="46"/>
      <c r="I202" s="46"/>
      <c r="J202" s="46"/>
      <c r="K202" s="46"/>
      <c r="L202" s="46"/>
      <c r="M202" s="46"/>
      <c r="N202" s="46"/>
      <c r="O202" s="46"/>
    </row>
    <row r="203" ht="15.75" customHeight="1">
      <c r="E203" s="45"/>
      <c r="G203" s="46"/>
      <c r="H203" s="46"/>
      <c r="I203" s="46"/>
      <c r="J203" s="46"/>
      <c r="K203" s="46"/>
      <c r="L203" s="46"/>
      <c r="M203" s="46"/>
      <c r="N203" s="46"/>
      <c r="O203" s="46"/>
    </row>
    <row r="204" ht="15.75" customHeight="1">
      <c r="E204" s="45"/>
      <c r="G204" s="46"/>
      <c r="H204" s="46"/>
      <c r="I204" s="46"/>
      <c r="J204" s="46"/>
      <c r="K204" s="46"/>
      <c r="L204" s="46"/>
      <c r="M204" s="46"/>
      <c r="N204" s="46"/>
      <c r="O204" s="46"/>
    </row>
    <row r="205" ht="15.75" customHeight="1">
      <c r="E205" s="45"/>
      <c r="G205" s="46"/>
      <c r="H205" s="46"/>
      <c r="I205" s="46"/>
      <c r="J205" s="46"/>
      <c r="K205" s="46"/>
      <c r="L205" s="46"/>
      <c r="M205" s="46"/>
      <c r="N205" s="46"/>
      <c r="O205" s="46"/>
    </row>
    <row r="206" ht="15.75" customHeight="1">
      <c r="E206" s="45"/>
      <c r="G206" s="46"/>
      <c r="H206" s="46"/>
      <c r="I206" s="46"/>
      <c r="J206" s="46"/>
      <c r="K206" s="46"/>
      <c r="L206" s="46"/>
      <c r="M206" s="46"/>
      <c r="N206" s="46"/>
      <c r="O206" s="46"/>
    </row>
    <row r="207" ht="15.75" customHeight="1">
      <c r="E207" s="45"/>
      <c r="G207" s="46"/>
      <c r="H207" s="46"/>
      <c r="I207" s="46"/>
      <c r="J207" s="46"/>
      <c r="K207" s="46"/>
      <c r="L207" s="46"/>
      <c r="M207" s="46"/>
      <c r="N207" s="46"/>
      <c r="O207" s="46"/>
    </row>
    <row r="208" ht="15.75" customHeight="1">
      <c r="E208" s="45"/>
      <c r="G208" s="46"/>
      <c r="H208" s="46"/>
      <c r="I208" s="46"/>
      <c r="J208" s="46"/>
      <c r="K208" s="46"/>
      <c r="L208" s="46"/>
      <c r="M208" s="46"/>
      <c r="N208" s="46"/>
      <c r="O208" s="46"/>
    </row>
    <row r="209" ht="15.75" customHeight="1">
      <c r="E209" s="45"/>
      <c r="G209" s="46"/>
      <c r="H209" s="46"/>
      <c r="I209" s="46"/>
      <c r="J209" s="46"/>
      <c r="K209" s="46"/>
      <c r="L209" s="46"/>
      <c r="M209" s="46"/>
      <c r="N209" s="46"/>
      <c r="O209" s="46"/>
    </row>
    <row r="210" ht="15.75" customHeight="1">
      <c r="E210" s="45"/>
      <c r="G210" s="46"/>
      <c r="H210" s="46"/>
      <c r="I210" s="46"/>
      <c r="J210" s="46"/>
      <c r="K210" s="46"/>
      <c r="L210" s="46"/>
      <c r="M210" s="46"/>
      <c r="N210" s="46"/>
      <c r="O210" s="46"/>
    </row>
    <row r="211" ht="15.75" customHeight="1">
      <c r="E211" s="45"/>
      <c r="G211" s="46"/>
      <c r="H211" s="46"/>
      <c r="I211" s="46"/>
      <c r="J211" s="46"/>
      <c r="K211" s="46"/>
      <c r="L211" s="46"/>
      <c r="M211" s="46"/>
      <c r="N211" s="46"/>
      <c r="O211" s="46"/>
    </row>
    <row r="212" ht="15.75" customHeight="1">
      <c r="E212" s="45"/>
      <c r="G212" s="46"/>
      <c r="H212" s="46"/>
      <c r="I212" s="46"/>
      <c r="J212" s="46"/>
      <c r="K212" s="46"/>
      <c r="L212" s="46"/>
      <c r="M212" s="46"/>
      <c r="N212" s="46"/>
      <c r="O212" s="46"/>
    </row>
    <row r="213" ht="15.75" customHeight="1">
      <c r="E213" s="45"/>
      <c r="G213" s="46"/>
      <c r="H213" s="46"/>
      <c r="I213" s="46"/>
      <c r="J213" s="46"/>
      <c r="K213" s="46"/>
      <c r="L213" s="46"/>
      <c r="M213" s="46"/>
      <c r="N213" s="46"/>
      <c r="O213" s="46"/>
    </row>
    <row r="214" ht="15.75" customHeight="1">
      <c r="E214" s="45"/>
      <c r="G214" s="46"/>
      <c r="H214" s="46"/>
      <c r="I214" s="46"/>
      <c r="J214" s="46"/>
      <c r="K214" s="46"/>
      <c r="L214" s="46"/>
      <c r="M214" s="46"/>
      <c r="N214" s="46"/>
      <c r="O214" s="46"/>
    </row>
    <row r="215" ht="15.75" customHeight="1">
      <c r="E215" s="45"/>
      <c r="G215" s="46"/>
      <c r="H215" s="46"/>
      <c r="I215" s="46"/>
      <c r="J215" s="46"/>
      <c r="K215" s="46"/>
      <c r="L215" s="46"/>
      <c r="M215" s="46"/>
      <c r="N215" s="46"/>
      <c r="O215" s="46"/>
    </row>
    <row r="216" ht="15.75" customHeight="1">
      <c r="E216" s="45"/>
      <c r="G216" s="46"/>
      <c r="H216" s="46"/>
      <c r="I216" s="46"/>
      <c r="J216" s="46"/>
      <c r="K216" s="46"/>
      <c r="L216" s="46"/>
      <c r="M216" s="46"/>
      <c r="N216" s="46"/>
      <c r="O216" s="46"/>
    </row>
    <row r="217" ht="15.75" customHeight="1">
      <c r="E217" s="45"/>
      <c r="G217" s="46"/>
      <c r="H217" s="46"/>
      <c r="I217" s="46"/>
      <c r="J217" s="46"/>
      <c r="K217" s="46"/>
      <c r="L217" s="46"/>
      <c r="M217" s="46"/>
      <c r="N217" s="46"/>
      <c r="O217" s="46"/>
    </row>
    <row r="218" ht="15.75" customHeight="1">
      <c r="E218" s="45"/>
      <c r="G218" s="46"/>
      <c r="H218" s="46"/>
      <c r="I218" s="46"/>
      <c r="J218" s="46"/>
      <c r="K218" s="46"/>
      <c r="L218" s="46"/>
      <c r="M218" s="46"/>
      <c r="N218" s="46"/>
      <c r="O218" s="46"/>
    </row>
    <row r="219" ht="15.75" customHeight="1">
      <c r="E219" s="45"/>
      <c r="G219" s="46"/>
      <c r="H219" s="46"/>
      <c r="I219" s="46"/>
      <c r="J219" s="46"/>
      <c r="K219" s="46"/>
      <c r="L219" s="46"/>
      <c r="M219" s="46"/>
      <c r="N219" s="46"/>
      <c r="O219" s="46"/>
    </row>
    <row r="220" ht="15.75" customHeight="1">
      <c r="E220" s="45"/>
      <c r="G220" s="46"/>
      <c r="H220" s="46"/>
      <c r="I220" s="46"/>
      <c r="J220" s="46"/>
      <c r="K220" s="46"/>
      <c r="L220" s="46"/>
      <c r="M220" s="46"/>
      <c r="N220" s="46"/>
      <c r="O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G4"/>
    <mergeCell ref="H2:K2"/>
    <mergeCell ref="H3:I3"/>
    <mergeCell ref="J3:K3"/>
    <mergeCell ref="L2:N3"/>
    <mergeCell ref="O2:O4"/>
    <mergeCell ref="B1:O1"/>
    <mergeCell ref="A2:A4"/>
    <mergeCell ref="B2:B4"/>
    <mergeCell ref="C2:C4"/>
    <mergeCell ref="D2:D4"/>
    <mergeCell ref="E2:E4"/>
    <mergeCell ref="F2:F4"/>
  </mergeCells>
  <conditionalFormatting sqref="G2:G1000">
    <cfRule type="containsText" dxfId="0" priority="1" operator="containsText" text="High">
      <formula>NOT(ISERROR(SEARCH(("High"),(G2))))</formula>
    </cfRule>
  </conditionalFormatting>
  <conditionalFormatting sqref="G2:G1000">
    <cfRule type="containsText" dxfId="0" priority="2" operator="containsText" text="Medium">
      <formula>NOT(ISERROR(SEARCH(("Medium"),(G2))))</formula>
    </cfRule>
  </conditionalFormatting>
  <conditionalFormatting sqref="G2:G1000">
    <cfRule type="containsText" dxfId="0" priority="3" operator="containsText" text="Low">
      <formula>NOT(ISERROR(SEARCH(("Low"),(G2))))</formula>
    </cfRule>
  </conditionalFormatting>
  <conditionalFormatting sqref="I5:I1000 K5:N11">
    <cfRule type="containsText" dxfId="0" priority="4" operator="containsText" text="OK">
      <formula>NOT(ISERROR(SEARCH(("OK"),(I5))))</formula>
    </cfRule>
  </conditionalFormatting>
  <conditionalFormatting sqref="I5:I1000 K5:N11">
    <cfRule type="containsText" dxfId="1" priority="5" operator="containsText" text="NA">
      <formula>NOT(ISERROR(SEARCH(("NA"),(I5))))</formula>
    </cfRule>
  </conditionalFormatting>
  <dataValidations>
    <dataValidation type="list" allowBlank="1" sqref="H5:H11 J5:J11">
      <formula1>"x,●"</formula1>
    </dataValidation>
    <dataValidation type="list" allowBlank="1" sqref="I5:I11 K5:N11">
      <formula1>"OK,NG,NA"</formula1>
    </dataValidation>
    <dataValidation type="list" allowBlank="1" showErrorMessage="1" sqref="G5:G11">
      <formula1>"High,Medium,Low"</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9.38"/>
    <col customWidth="1" min="2" max="2" width="46.5"/>
    <col customWidth="1" min="3" max="3" width="41.88"/>
    <col customWidth="1" min="4" max="4" width="21.5"/>
    <col customWidth="1" min="5" max="7" width="19.0"/>
  </cols>
  <sheetData>
    <row r="1" ht="15.75" customHeight="1">
      <c r="A1" s="52" t="s">
        <v>566</v>
      </c>
      <c r="B1" s="52" t="s">
        <v>567</v>
      </c>
      <c r="C1" s="53" t="s">
        <v>568</v>
      </c>
      <c r="D1" s="54" t="s">
        <v>569</v>
      </c>
      <c r="E1" s="16"/>
      <c r="F1" s="16"/>
      <c r="G1" s="17"/>
    </row>
    <row r="2" ht="15.75" customHeight="1">
      <c r="A2" s="34"/>
      <c r="B2" s="34"/>
      <c r="C2" s="34"/>
      <c r="D2" s="55" t="s">
        <v>570</v>
      </c>
      <c r="E2" s="55" t="s">
        <v>571</v>
      </c>
      <c r="F2" s="55" t="s">
        <v>572</v>
      </c>
      <c r="G2" s="55" t="s">
        <v>573</v>
      </c>
    </row>
    <row r="3" ht="15.75" customHeight="1">
      <c r="A3" s="56">
        <v>1.0</v>
      </c>
      <c r="B3" s="57" t="s">
        <v>574</v>
      </c>
      <c r="C3" s="58" t="s">
        <v>575</v>
      </c>
      <c r="D3" s="59" t="s">
        <v>576</v>
      </c>
      <c r="E3" s="59" t="s">
        <v>577</v>
      </c>
      <c r="F3" s="59" t="s">
        <v>578</v>
      </c>
      <c r="G3" s="59"/>
    </row>
    <row r="4" ht="15.75" customHeight="1">
      <c r="A4" s="56">
        <v>2.0</v>
      </c>
      <c r="B4" s="34"/>
      <c r="C4" s="58" t="s">
        <v>579</v>
      </c>
      <c r="D4" s="59" t="s">
        <v>580</v>
      </c>
      <c r="E4" s="59" t="s">
        <v>581</v>
      </c>
      <c r="F4" s="59"/>
      <c r="G4" s="59"/>
    </row>
    <row r="5" ht="15.75" customHeight="1">
      <c r="A5" s="56">
        <v>3.0</v>
      </c>
      <c r="B5" s="57" t="s">
        <v>582</v>
      </c>
      <c r="C5" s="58" t="s">
        <v>583</v>
      </c>
      <c r="D5" s="59" t="s">
        <v>584</v>
      </c>
      <c r="E5" s="59"/>
      <c r="F5" s="59"/>
      <c r="G5" s="59"/>
    </row>
    <row r="6" ht="15.75" customHeight="1">
      <c r="A6" s="56">
        <v>4.0</v>
      </c>
      <c r="B6" s="34"/>
      <c r="C6" s="58" t="s">
        <v>585</v>
      </c>
      <c r="D6" s="59" t="s">
        <v>586</v>
      </c>
      <c r="E6" s="59"/>
      <c r="F6" s="59"/>
      <c r="G6" s="59"/>
    </row>
    <row r="7" ht="15.75" customHeight="1">
      <c r="A7" s="56">
        <v>5.0</v>
      </c>
      <c r="B7" s="57" t="s">
        <v>587</v>
      </c>
      <c r="C7" s="58" t="s">
        <v>588</v>
      </c>
      <c r="D7" s="59" t="s">
        <v>576</v>
      </c>
      <c r="E7" s="59" t="s">
        <v>577</v>
      </c>
      <c r="F7" s="59" t="s">
        <v>578</v>
      </c>
      <c r="G7" s="59"/>
    </row>
    <row r="8" ht="15.75" customHeight="1">
      <c r="A8" s="56">
        <v>6.0</v>
      </c>
      <c r="B8" s="34"/>
      <c r="C8" s="58" t="s">
        <v>589</v>
      </c>
      <c r="D8" s="59" t="s">
        <v>580</v>
      </c>
      <c r="E8" s="59" t="s">
        <v>590</v>
      </c>
      <c r="F8" s="59" t="s">
        <v>591</v>
      </c>
      <c r="G8" s="59"/>
    </row>
    <row r="9" ht="15.75" customHeight="1">
      <c r="A9" s="56">
        <v>7.0</v>
      </c>
      <c r="B9" s="57" t="s">
        <v>592</v>
      </c>
      <c r="C9" s="58" t="s">
        <v>588</v>
      </c>
      <c r="D9" s="59" t="s">
        <v>576</v>
      </c>
      <c r="E9" s="59" t="s">
        <v>577</v>
      </c>
      <c r="F9" s="59" t="s">
        <v>578</v>
      </c>
      <c r="G9" s="59"/>
    </row>
    <row r="10" ht="15.75" customHeight="1">
      <c r="A10" s="56">
        <v>8.0</v>
      </c>
      <c r="B10" s="34"/>
      <c r="C10" s="58" t="s">
        <v>589</v>
      </c>
      <c r="D10" s="59" t="s">
        <v>580</v>
      </c>
      <c r="E10" s="59" t="s">
        <v>590</v>
      </c>
      <c r="F10" s="59" t="s">
        <v>591</v>
      </c>
      <c r="G10" s="59"/>
    </row>
    <row r="11" ht="15.75" customHeight="1">
      <c r="A11" s="56">
        <v>9.0</v>
      </c>
      <c r="B11" s="57" t="s">
        <v>593</v>
      </c>
      <c r="C11" s="58" t="s">
        <v>588</v>
      </c>
      <c r="D11" s="59" t="s">
        <v>576</v>
      </c>
      <c r="E11" s="59" t="s">
        <v>594</v>
      </c>
      <c r="F11" s="59" t="s">
        <v>578</v>
      </c>
      <c r="G11" s="59"/>
    </row>
    <row r="12" ht="15.75" customHeight="1">
      <c r="A12" s="56">
        <v>10.0</v>
      </c>
      <c r="B12" s="34"/>
      <c r="C12" s="58" t="s">
        <v>589</v>
      </c>
      <c r="D12" s="59" t="s">
        <v>580</v>
      </c>
      <c r="E12" s="59" t="s">
        <v>581</v>
      </c>
      <c r="F12" s="59" t="s">
        <v>591</v>
      </c>
      <c r="G12" s="59"/>
      <c r="H12" s="45"/>
    </row>
    <row r="13" ht="15.75" customHeight="1">
      <c r="A13" s="56">
        <v>11.0</v>
      </c>
      <c r="B13" s="56" t="s">
        <v>595</v>
      </c>
      <c r="C13" s="58" t="s">
        <v>588</v>
      </c>
      <c r="D13" s="60" t="s">
        <v>596</v>
      </c>
      <c r="E13" s="61"/>
      <c r="F13" s="61"/>
      <c r="G13" s="62"/>
    </row>
    <row r="14" ht="15.75" customHeight="1">
      <c r="A14" s="56">
        <v>12.0</v>
      </c>
      <c r="B14" s="56" t="s">
        <v>597</v>
      </c>
      <c r="C14" s="58" t="s">
        <v>589</v>
      </c>
      <c r="D14" s="63"/>
      <c r="E14" s="5"/>
      <c r="F14" s="5"/>
      <c r="G14" s="6"/>
    </row>
    <row r="15" ht="15.75" customHeight="1">
      <c r="A15" s="56">
        <v>13.0</v>
      </c>
      <c r="B15" s="56" t="s">
        <v>598</v>
      </c>
      <c r="C15" s="58" t="s">
        <v>588</v>
      </c>
      <c r="D15" s="59" t="s">
        <v>599</v>
      </c>
      <c r="E15" s="59"/>
      <c r="F15" s="59"/>
      <c r="G15" s="59"/>
    </row>
    <row r="16" ht="15.75" customHeight="1">
      <c r="A16" s="56">
        <v>14.0</v>
      </c>
      <c r="B16" s="56"/>
      <c r="C16" s="58" t="s">
        <v>589</v>
      </c>
      <c r="D16" s="59" t="s">
        <v>600</v>
      </c>
      <c r="E16" s="59"/>
      <c r="F16" s="59"/>
      <c r="G16" s="59"/>
    </row>
    <row r="17" ht="15.75" customHeight="1">
      <c r="A17" s="56">
        <v>15.0</v>
      </c>
      <c r="B17" s="56" t="s">
        <v>601</v>
      </c>
      <c r="C17" s="58" t="s">
        <v>588</v>
      </c>
      <c r="D17" s="59" t="s">
        <v>602</v>
      </c>
      <c r="E17" s="59" t="s">
        <v>603</v>
      </c>
      <c r="F17" s="59"/>
      <c r="G17" s="59"/>
    </row>
    <row r="18" ht="15.75" customHeight="1">
      <c r="A18" s="56">
        <v>16.0</v>
      </c>
      <c r="B18" s="56"/>
      <c r="C18" s="58" t="s">
        <v>589</v>
      </c>
      <c r="D18" s="59" t="s">
        <v>600</v>
      </c>
      <c r="E18" s="59" t="s">
        <v>604</v>
      </c>
      <c r="F18" s="59"/>
      <c r="G18" s="59"/>
    </row>
    <row r="19" ht="15.75" customHeight="1">
      <c r="A19" s="56">
        <v>17.0</v>
      </c>
      <c r="B19" s="56" t="s">
        <v>605</v>
      </c>
      <c r="C19" s="58" t="s">
        <v>588</v>
      </c>
      <c r="D19" s="59" t="s">
        <v>602</v>
      </c>
      <c r="E19" s="59" t="s">
        <v>603</v>
      </c>
      <c r="F19" s="59" t="s">
        <v>591</v>
      </c>
      <c r="G19" s="59"/>
    </row>
    <row r="20" ht="15.75" customHeight="1">
      <c r="A20" s="56">
        <v>18.0</v>
      </c>
      <c r="B20" s="56"/>
      <c r="C20" s="58" t="s">
        <v>589</v>
      </c>
      <c r="D20" s="59" t="s">
        <v>600</v>
      </c>
      <c r="E20" s="59" t="s">
        <v>604</v>
      </c>
      <c r="F20" s="59" t="s">
        <v>578</v>
      </c>
      <c r="G20" s="59"/>
    </row>
    <row r="21" ht="15.75" customHeight="1">
      <c r="A21" s="56">
        <v>19.0</v>
      </c>
      <c r="B21" s="56" t="s">
        <v>606</v>
      </c>
      <c r="C21" s="58" t="s">
        <v>588</v>
      </c>
      <c r="D21" s="59" t="s">
        <v>576</v>
      </c>
      <c r="E21" s="59" t="s">
        <v>577</v>
      </c>
      <c r="F21" s="59" t="s">
        <v>578</v>
      </c>
      <c r="G21" s="59" t="s">
        <v>578</v>
      </c>
    </row>
    <row r="22" ht="15.75" customHeight="1">
      <c r="A22" s="56">
        <v>20.0</v>
      </c>
      <c r="B22" s="56"/>
      <c r="C22" s="58" t="s">
        <v>589</v>
      </c>
      <c r="D22" s="59" t="s">
        <v>600</v>
      </c>
      <c r="E22" s="59" t="s">
        <v>604</v>
      </c>
      <c r="F22" s="59" t="s">
        <v>578</v>
      </c>
      <c r="G22" s="59" t="s">
        <v>578</v>
      </c>
    </row>
    <row r="23" ht="15.75" customHeight="1">
      <c r="A23" s="56">
        <v>21.0</v>
      </c>
      <c r="B23" s="56" t="s">
        <v>607</v>
      </c>
      <c r="C23" s="58" t="s">
        <v>588</v>
      </c>
      <c r="D23" s="59" t="s">
        <v>577</v>
      </c>
      <c r="E23" s="59"/>
      <c r="F23" s="59"/>
      <c r="G23" s="59"/>
    </row>
    <row r="24" ht="15.75" customHeight="1">
      <c r="A24" s="56">
        <v>22.0</v>
      </c>
      <c r="B24" s="56"/>
      <c r="C24" s="58" t="s">
        <v>589</v>
      </c>
      <c r="D24" s="59" t="s">
        <v>608</v>
      </c>
      <c r="E24" s="59"/>
      <c r="F24" s="59"/>
      <c r="G24" s="59"/>
    </row>
    <row r="25" ht="15.75" customHeight="1">
      <c r="A25" s="56">
        <v>23.0</v>
      </c>
      <c r="B25" s="56" t="s">
        <v>609</v>
      </c>
      <c r="C25" s="58" t="s">
        <v>588</v>
      </c>
      <c r="D25" s="59" t="s">
        <v>576</v>
      </c>
      <c r="E25" s="59" t="s">
        <v>610</v>
      </c>
      <c r="F25" s="59"/>
      <c r="G25" s="59"/>
    </row>
    <row r="26" ht="15.75" customHeight="1">
      <c r="A26" s="56">
        <v>24.0</v>
      </c>
      <c r="B26" s="56"/>
      <c r="C26" s="58" t="s">
        <v>589</v>
      </c>
      <c r="D26" s="59" t="s">
        <v>608</v>
      </c>
      <c r="E26" s="59" t="s">
        <v>590</v>
      </c>
      <c r="F26" s="59"/>
      <c r="G26" s="59"/>
    </row>
    <row r="27" ht="15.75" customHeight="1">
      <c r="A27" s="56">
        <v>25.0</v>
      </c>
      <c r="B27" s="56" t="s">
        <v>611</v>
      </c>
      <c r="C27" s="58" t="s">
        <v>588</v>
      </c>
      <c r="D27" s="59" t="s">
        <v>576</v>
      </c>
      <c r="E27" s="59" t="s">
        <v>610</v>
      </c>
      <c r="F27" s="59" t="s">
        <v>578</v>
      </c>
      <c r="G27" s="59"/>
    </row>
    <row r="28" ht="15.75" customHeight="1">
      <c r="A28" s="56">
        <v>26.0</v>
      </c>
      <c r="B28" s="56"/>
      <c r="C28" s="56"/>
      <c r="D28" s="59" t="s">
        <v>580</v>
      </c>
      <c r="E28" s="59" t="s">
        <v>590</v>
      </c>
      <c r="F28" s="59" t="s">
        <v>591</v>
      </c>
      <c r="G28" s="59"/>
    </row>
    <row r="29" ht="15.75" customHeight="1">
      <c r="A29" s="56">
        <v>27.0</v>
      </c>
      <c r="B29" s="56" t="s">
        <v>612</v>
      </c>
      <c r="C29" s="64" t="s">
        <v>588</v>
      </c>
      <c r="D29" s="59" t="s">
        <v>576</v>
      </c>
      <c r="E29" s="59" t="s">
        <v>610</v>
      </c>
      <c r="F29" s="59" t="s">
        <v>578</v>
      </c>
      <c r="G29" s="59" t="s">
        <v>578</v>
      </c>
    </row>
    <row r="30" ht="15.75" customHeight="1">
      <c r="A30" s="56">
        <v>28.0</v>
      </c>
      <c r="B30" s="56"/>
      <c r="C30" s="64" t="s">
        <v>589</v>
      </c>
      <c r="D30" s="65" t="s">
        <v>613</v>
      </c>
      <c r="E30" s="65" t="s">
        <v>613</v>
      </c>
      <c r="F30" s="65" t="s">
        <v>591</v>
      </c>
      <c r="G30" s="65" t="s">
        <v>578</v>
      </c>
    </row>
    <row r="31" ht="15.75" customHeight="1">
      <c r="A31" s="56">
        <v>29.0</v>
      </c>
      <c r="B31" s="56" t="s">
        <v>614</v>
      </c>
      <c r="C31" s="64" t="s">
        <v>588</v>
      </c>
      <c r="D31" s="66" t="s">
        <v>576</v>
      </c>
      <c r="E31" s="66" t="s">
        <v>577</v>
      </c>
      <c r="F31" s="66" t="s">
        <v>615</v>
      </c>
      <c r="G31" s="66" t="s">
        <v>616</v>
      </c>
      <c r="H31" s="67" t="s">
        <v>617</v>
      </c>
    </row>
    <row r="32" ht="15.75" customHeight="1">
      <c r="A32" s="56">
        <v>30.0</v>
      </c>
      <c r="B32" s="56"/>
      <c r="C32" s="64" t="s">
        <v>589</v>
      </c>
      <c r="D32" s="66" t="s">
        <v>618</v>
      </c>
      <c r="E32" s="66" t="s">
        <v>619</v>
      </c>
      <c r="F32" s="66" t="s">
        <v>615</v>
      </c>
      <c r="G32" s="66" t="s">
        <v>616</v>
      </c>
      <c r="H32" s="67" t="s">
        <v>620</v>
      </c>
    </row>
    <row r="33" ht="15.75" customHeight="1">
      <c r="A33" s="46"/>
      <c r="B33" s="46"/>
      <c r="C33" s="45"/>
    </row>
    <row r="34" ht="15.75" customHeight="1">
      <c r="A34" s="46"/>
      <c r="B34" s="46"/>
      <c r="C34" s="45"/>
    </row>
    <row r="35" ht="15.75" customHeight="1">
      <c r="A35" s="46"/>
      <c r="B35" s="46"/>
      <c r="C35" s="45"/>
    </row>
    <row r="36" ht="15.75" customHeight="1">
      <c r="A36" s="46"/>
      <c r="B36" s="46"/>
      <c r="C36" s="45" t="s">
        <v>621</v>
      </c>
    </row>
    <row r="37" ht="15.75" customHeight="1">
      <c r="A37" s="46"/>
      <c r="B37" s="46"/>
      <c r="C37" s="45"/>
    </row>
    <row r="38" ht="15.75" customHeight="1">
      <c r="A38" s="46"/>
      <c r="B38" s="46"/>
      <c r="C38" s="45"/>
    </row>
    <row r="39" ht="15.75" customHeight="1">
      <c r="A39" s="46"/>
      <c r="B39" s="46"/>
      <c r="C39" s="45"/>
    </row>
    <row r="40" ht="15.75" customHeight="1">
      <c r="A40" s="46"/>
      <c r="B40" s="46"/>
      <c r="C40" s="45"/>
    </row>
    <row r="41" ht="15.75" customHeight="1">
      <c r="A41" s="46"/>
      <c r="B41" s="46"/>
      <c r="C41" s="45"/>
    </row>
    <row r="42" ht="15.75" customHeight="1">
      <c r="A42" s="46"/>
      <c r="B42" s="46"/>
      <c r="C42" s="45"/>
    </row>
    <row r="43" ht="15.75" customHeight="1">
      <c r="A43" s="46"/>
      <c r="B43" s="46"/>
      <c r="C43" s="45"/>
    </row>
    <row r="44" ht="15.75" customHeight="1">
      <c r="A44" s="46"/>
      <c r="B44" s="46"/>
      <c r="C44" s="45"/>
    </row>
    <row r="45" ht="15.75" customHeight="1">
      <c r="A45" s="46"/>
      <c r="B45" s="46"/>
      <c r="C45" s="45"/>
    </row>
    <row r="46" ht="15.75" customHeight="1">
      <c r="A46" s="46"/>
      <c r="B46" s="46"/>
      <c r="C46" s="45"/>
    </row>
    <row r="47" ht="15.75" customHeight="1">
      <c r="A47" s="46"/>
      <c r="B47" s="46"/>
      <c r="C47" s="45"/>
    </row>
    <row r="48" ht="15.75" customHeight="1">
      <c r="A48" s="46"/>
      <c r="B48" s="46"/>
      <c r="C48" s="45"/>
    </row>
    <row r="49" ht="15.75" customHeight="1">
      <c r="A49" s="46"/>
      <c r="B49" s="46"/>
      <c r="C49" s="45"/>
    </row>
    <row r="50" ht="15.75" customHeight="1">
      <c r="A50" s="46"/>
      <c r="B50" s="46"/>
      <c r="C50" s="45"/>
    </row>
    <row r="51" ht="15.75" customHeight="1">
      <c r="A51" s="46"/>
      <c r="B51" s="46"/>
      <c r="C51" s="45"/>
    </row>
    <row r="52" ht="15.75" customHeight="1">
      <c r="A52" s="46"/>
      <c r="B52" s="46"/>
      <c r="C52" s="45"/>
    </row>
    <row r="53" ht="15.75" customHeight="1">
      <c r="A53" s="46"/>
      <c r="B53" s="46"/>
      <c r="C53" s="45"/>
    </row>
    <row r="54" ht="15.75" customHeight="1">
      <c r="A54" s="46"/>
      <c r="B54" s="46"/>
      <c r="C54" s="45"/>
    </row>
    <row r="55" ht="15.75" customHeight="1">
      <c r="A55" s="46"/>
      <c r="B55" s="46"/>
      <c r="C55" s="45"/>
    </row>
    <row r="56" ht="15.75" customHeight="1">
      <c r="A56" s="46"/>
      <c r="B56" s="46"/>
      <c r="C56" s="45"/>
    </row>
    <row r="57" ht="15.75" customHeight="1">
      <c r="A57" s="46"/>
      <c r="B57" s="46"/>
      <c r="C57" s="45"/>
    </row>
    <row r="58" ht="15.75" customHeight="1">
      <c r="A58" s="46"/>
      <c r="B58" s="46"/>
      <c r="C58" s="45"/>
    </row>
    <row r="59" ht="15.75" customHeight="1">
      <c r="A59" s="46"/>
      <c r="B59" s="46"/>
      <c r="C59" s="45"/>
    </row>
    <row r="60" ht="15.75" customHeight="1">
      <c r="A60" s="46"/>
      <c r="B60" s="46"/>
      <c r="C60" s="45"/>
    </row>
    <row r="61" ht="15.75" customHeight="1">
      <c r="A61" s="46"/>
      <c r="B61" s="46"/>
      <c r="C61" s="45"/>
    </row>
    <row r="62" ht="15.75" customHeight="1">
      <c r="A62" s="46"/>
      <c r="B62" s="46"/>
      <c r="C62" s="45"/>
    </row>
    <row r="63" ht="15.75" customHeight="1">
      <c r="A63" s="46"/>
      <c r="B63" s="46"/>
      <c r="C63" s="45"/>
    </row>
    <row r="64" ht="15.75" customHeight="1">
      <c r="A64" s="46"/>
      <c r="B64" s="46"/>
      <c r="C64" s="45"/>
    </row>
    <row r="65" ht="15.75" customHeight="1">
      <c r="A65" s="46"/>
      <c r="B65" s="46"/>
      <c r="C65" s="45"/>
    </row>
    <row r="66" ht="15.75" customHeight="1">
      <c r="A66" s="46"/>
      <c r="B66" s="46"/>
      <c r="C66" s="45"/>
    </row>
    <row r="67" ht="15.75" customHeight="1">
      <c r="A67" s="46"/>
      <c r="B67" s="46"/>
      <c r="C67" s="45"/>
    </row>
    <row r="68" ht="15.75" customHeight="1">
      <c r="A68" s="46"/>
      <c r="B68" s="46"/>
      <c r="C68" s="45"/>
    </row>
    <row r="69" ht="15.75" customHeight="1">
      <c r="A69" s="46"/>
      <c r="B69" s="46"/>
      <c r="C69" s="45"/>
    </row>
    <row r="70" ht="15.75" customHeight="1">
      <c r="A70" s="46"/>
      <c r="B70" s="46"/>
      <c r="C70" s="45"/>
    </row>
    <row r="71" ht="15.75" customHeight="1">
      <c r="A71" s="46"/>
      <c r="B71" s="46"/>
      <c r="C71" s="45"/>
    </row>
    <row r="72" ht="15.75" customHeight="1">
      <c r="A72" s="46"/>
      <c r="B72" s="46"/>
      <c r="C72" s="45"/>
    </row>
    <row r="73" ht="15.75" customHeight="1">
      <c r="A73" s="46"/>
      <c r="B73" s="46"/>
      <c r="C73" s="45"/>
    </row>
    <row r="74" ht="15.75" customHeight="1">
      <c r="A74" s="46"/>
      <c r="B74" s="46"/>
      <c r="C74" s="45"/>
    </row>
    <row r="75" ht="15.75" customHeight="1">
      <c r="A75" s="46"/>
      <c r="B75" s="46"/>
      <c r="C75" s="45"/>
    </row>
    <row r="76" ht="15.75" customHeight="1">
      <c r="A76" s="46"/>
      <c r="B76" s="46"/>
      <c r="C76" s="45"/>
    </row>
    <row r="77" ht="15.75" customHeight="1">
      <c r="A77" s="46"/>
      <c r="B77" s="46"/>
      <c r="C77" s="45"/>
    </row>
    <row r="78" ht="15.75" customHeight="1">
      <c r="A78" s="46"/>
      <c r="B78" s="46"/>
      <c r="C78" s="45"/>
    </row>
    <row r="79" ht="15.75" customHeight="1">
      <c r="A79" s="46"/>
      <c r="B79" s="46"/>
      <c r="C79" s="45"/>
    </row>
    <row r="80" ht="15.75" customHeight="1">
      <c r="A80" s="46"/>
      <c r="B80" s="46"/>
      <c r="C80" s="45"/>
    </row>
    <row r="81" ht="15.75" customHeight="1">
      <c r="A81" s="46"/>
      <c r="B81" s="46"/>
      <c r="C81" s="45"/>
    </row>
    <row r="82" ht="15.75" customHeight="1">
      <c r="A82" s="46"/>
      <c r="B82" s="46"/>
      <c r="C82" s="45"/>
    </row>
    <row r="83" ht="15.75" customHeight="1">
      <c r="A83" s="46"/>
      <c r="B83" s="46"/>
      <c r="C83" s="45"/>
    </row>
    <row r="84" ht="15.75" customHeight="1">
      <c r="A84" s="46"/>
      <c r="B84" s="46"/>
      <c r="C84" s="45"/>
    </row>
    <row r="85" ht="15.75" customHeight="1">
      <c r="A85" s="46"/>
      <c r="B85" s="46"/>
      <c r="C85" s="45"/>
    </row>
    <row r="86" ht="15.75" customHeight="1">
      <c r="A86" s="46"/>
      <c r="B86" s="46"/>
      <c r="C86" s="45"/>
    </row>
    <row r="87" ht="15.75" customHeight="1">
      <c r="A87" s="46"/>
      <c r="B87" s="46"/>
      <c r="C87" s="45"/>
    </row>
    <row r="88" ht="15.75" customHeight="1">
      <c r="A88" s="46"/>
      <c r="B88" s="46"/>
      <c r="C88" s="45"/>
    </row>
    <row r="89" ht="15.75" customHeight="1">
      <c r="A89" s="46"/>
      <c r="B89" s="46"/>
      <c r="C89" s="45"/>
    </row>
    <row r="90" ht="15.75" customHeight="1">
      <c r="A90" s="46"/>
      <c r="B90" s="46"/>
      <c r="C90" s="45"/>
    </row>
    <row r="91" ht="15.75" customHeight="1">
      <c r="A91" s="46"/>
      <c r="B91" s="46"/>
      <c r="C91" s="45"/>
    </row>
    <row r="92" ht="15.75" customHeight="1">
      <c r="A92" s="46"/>
      <c r="B92" s="46"/>
      <c r="C92" s="45"/>
    </row>
    <row r="93" ht="15.75" customHeight="1">
      <c r="A93" s="46"/>
      <c r="B93" s="46"/>
      <c r="C93" s="45"/>
    </row>
    <row r="94" ht="15.75" customHeight="1">
      <c r="A94" s="46"/>
      <c r="B94" s="46"/>
      <c r="C94" s="45"/>
    </row>
    <row r="95" ht="15.75" customHeight="1">
      <c r="A95" s="46"/>
      <c r="B95" s="46"/>
      <c r="C95" s="45"/>
    </row>
    <row r="96" ht="15.75" customHeight="1">
      <c r="A96" s="46"/>
      <c r="B96" s="46"/>
      <c r="C96" s="45"/>
    </row>
    <row r="97" ht="15.75" customHeight="1">
      <c r="A97" s="46"/>
      <c r="B97" s="46"/>
      <c r="C97" s="45"/>
    </row>
    <row r="98" ht="15.75" customHeight="1">
      <c r="A98" s="46"/>
      <c r="B98" s="46"/>
      <c r="C98" s="45"/>
    </row>
    <row r="99" ht="15.75" customHeight="1">
      <c r="A99" s="46"/>
      <c r="B99" s="46"/>
      <c r="C99" s="45"/>
    </row>
    <row r="100" ht="15.75" customHeight="1">
      <c r="A100" s="46"/>
      <c r="B100" s="46"/>
      <c r="C100" s="45"/>
    </row>
    <row r="101" ht="15.75" customHeight="1">
      <c r="A101" s="46"/>
      <c r="B101" s="46"/>
      <c r="C101" s="45"/>
    </row>
    <row r="102" ht="15.75" customHeight="1">
      <c r="A102" s="46"/>
      <c r="B102" s="46"/>
      <c r="C102" s="45"/>
    </row>
    <row r="103" ht="15.75" customHeight="1">
      <c r="A103" s="46"/>
      <c r="B103" s="46"/>
      <c r="C103" s="45"/>
    </row>
    <row r="104" ht="15.75" customHeight="1">
      <c r="A104" s="46"/>
      <c r="B104" s="46"/>
      <c r="C104" s="45"/>
    </row>
    <row r="105" ht="15.75" customHeight="1">
      <c r="A105" s="46"/>
      <c r="B105" s="46"/>
      <c r="C105" s="45"/>
    </row>
    <row r="106" ht="15.75" customHeight="1">
      <c r="A106" s="46"/>
      <c r="B106" s="46"/>
      <c r="C106" s="45"/>
    </row>
    <row r="107" ht="15.75" customHeight="1">
      <c r="A107" s="46"/>
      <c r="B107" s="46"/>
      <c r="C107" s="45"/>
    </row>
    <row r="108" ht="15.75" customHeight="1">
      <c r="A108" s="46"/>
      <c r="B108" s="46"/>
      <c r="C108" s="45"/>
    </row>
    <row r="109" ht="15.75" customHeight="1">
      <c r="A109" s="46"/>
      <c r="B109" s="46"/>
      <c r="C109" s="45"/>
    </row>
    <row r="110" ht="15.75" customHeight="1">
      <c r="A110" s="46"/>
      <c r="B110" s="46"/>
      <c r="C110" s="45"/>
    </row>
    <row r="111" ht="15.75" customHeight="1">
      <c r="A111" s="46"/>
      <c r="B111" s="46"/>
      <c r="C111" s="45"/>
    </row>
    <row r="112" ht="15.75" customHeight="1">
      <c r="A112" s="46"/>
      <c r="B112" s="46"/>
      <c r="C112" s="45"/>
    </row>
    <row r="113" ht="15.75" customHeight="1">
      <c r="A113" s="46"/>
      <c r="B113" s="46"/>
      <c r="C113" s="45"/>
    </row>
    <row r="114" ht="15.75" customHeight="1">
      <c r="A114" s="46"/>
      <c r="B114" s="46"/>
      <c r="C114" s="45"/>
    </row>
    <row r="115" ht="15.75" customHeight="1">
      <c r="A115" s="46"/>
      <c r="B115" s="46"/>
      <c r="C115" s="45"/>
    </row>
    <row r="116" ht="15.75" customHeight="1">
      <c r="A116" s="46"/>
      <c r="B116" s="46"/>
      <c r="C116" s="45"/>
    </row>
    <row r="117" ht="15.75" customHeight="1">
      <c r="A117" s="46"/>
      <c r="B117" s="46"/>
      <c r="C117" s="45"/>
    </row>
    <row r="118" ht="15.75" customHeight="1">
      <c r="A118" s="46"/>
      <c r="B118" s="46"/>
      <c r="C118" s="45"/>
    </row>
    <row r="119" ht="15.75" customHeight="1">
      <c r="A119" s="46"/>
      <c r="B119" s="46"/>
      <c r="C119" s="45"/>
    </row>
    <row r="120" ht="15.75" customHeight="1">
      <c r="A120" s="46"/>
      <c r="B120" s="46"/>
      <c r="C120" s="45"/>
    </row>
    <row r="121" ht="15.75" customHeight="1">
      <c r="A121" s="46"/>
      <c r="B121" s="46"/>
      <c r="C121" s="45"/>
    </row>
    <row r="122" ht="15.75" customHeight="1">
      <c r="A122" s="46"/>
      <c r="B122" s="46"/>
      <c r="C122" s="45"/>
    </row>
    <row r="123" ht="15.75" customHeight="1">
      <c r="A123" s="46"/>
      <c r="B123" s="46"/>
      <c r="C123" s="45"/>
    </row>
    <row r="124" ht="15.75" customHeight="1">
      <c r="A124" s="46"/>
      <c r="B124" s="46"/>
      <c r="C124" s="45"/>
    </row>
    <row r="125" ht="15.75" customHeight="1">
      <c r="A125" s="46"/>
      <c r="B125" s="46"/>
      <c r="C125" s="45"/>
    </row>
    <row r="126" ht="15.75" customHeight="1">
      <c r="A126" s="46"/>
      <c r="B126" s="46"/>
      <c r="C126" s="45"/>
    </row>
    <row r="127" ht="15.75" customHeight="1">
      <c r="A127" s="46"/>
      <c r="B127" s="46"/>
      <c r="C127" s="45"/>
    </row>
    <row r="128" ht="15.75" customHeight="1">
      <c r="A128" s="46"/>
      <c r="B128" s="46"/>
      <c r="C128" s="45"/>
    </row>
    <row r="129" ht="15.75" customHeight="1">
      <c r="A129" s="46"/>
      <c r="B129" s="46"/>
      <c r="C129" s="45"/>
    </row>
    <row r="130" ht="15.75" customHeight="1">
      <c r="A130" s="46"/>
      <c r="B130" s="46"/>
      <c r="C130" s="45"/>
    </row>
    <row r="131" ht="15.75" customHeight="1">
      <c r="A131" s="46"/>
      <c r="B131" s="46"/>
      <c r="C131" s="45"/>
    </row>
    <row r="132" ht="15.75" customHeight="1">
      <c r="A132" s="46"/>
      <c r="B132" s="46"/>
      <c r="C132" s="45"/>
    </row>
    <row r="133" ht="15.75" customHeight="1">
      <c r="A133" s="46"/>
      <c r="B133" s="46"/>
      <c r="C133" s="45"/>
    </row>
    <row r="134" ht="15.75" customHeight="1">
      <c r="A134" s="46"/>
      <c r="B134" s="46"/>
      <c r="C134" s="45"/>
    </row>
    <row r="135" ht="15.75" customHeight="1">
      <c r="A135" s="46"/>
      <c r="B135" s="46"/>
      <c r="C135" s="45"/>
    </row>
    <row r="136" ht="15.75" customHeight="1">
      <c r="A136" s="46"/>
      <c r="B136" s="46"/>
      <c r="C136" s="45"/>
    </row>
    <row r="137" ht="15.75" customHeight="1">
      <c r="A137" s="46"/>
      <c r="B137" s="46"/>
      <c r="C137" s="45"/>
    </row>
    <row r="138" ht="15.75" customHeight="1">
      <c r="A138" s="46"/>
      <c r="B138" s="46"/>
      <c r="C138" s="45"/>
    </row>
    <row r="139" ht="15.75" customHeight="1">
      <c r="A139" s="46"/>
      <c r="B139" s="46"/>
      <c r="C139" s="45"/>
    </row>
    <row r="140" ht="15.75" customHeight="1">
      <c r="A140" s="46"/>
      <c r="B140" s="46"/>
      <c r="C140" s="45"/>
    </row>
    <row r="141" ht="15.75" customHeight="1">
      <c r="A141" s="46"/>
      <c r="B141" s="46"/>
      <c r="C141" s="45"/>
    </row>
    <row r="142" ht="15.75" customHeight="1">
      <c r="A142" s="46"/>
      <c r="B142" s="46"/>
      <c r="C142" s="45"/>
    </row>
    <row r="143" ht="15.75" customHeight="1">
      <c r="A143" s="46"/>
      <c r="B143" s="46"/>
      <c r="C143" s="45"/>
    </row>
    <row r="144" ht="15.75" customHeight="1">
      <c r="A144" s="46"/>
      <c r="B144" s="46"/>
      <c r="C144" s="45"/>
    </row>
    <row r="145" ht="15.75" customHeight="1">
      <c r="A145" s="46"/>
      <c r="B145" s="46"/>
      <c r="C145" s="45"/>
    </row>
    <row r="146" ht="15.75" customHeight="1">
      <c r="A146" s="46"/>
      <c r="B146" s="46"/>
      <c r="C146" s="45"/>
    </row>
    <row r="147" ht="15.75" customHeight="1">
      <c r="A147" s="46"/>
      <c r="B147" s="46"/>
      <c r="C147" s="45"/>
    </row>
    <row r="148" ht="15.75" customHeight="1">
      <c r="A148" s="46"/>
      <c r="B148" s="46"/>
      <c r="C148" s="45"/>
    </row>
    <row r="149" ht="15.75" customHeight="1">
      <c r="A149" s="46"/>
      <c r="B149" s="46"/>
      <c r="C149" s="45"/>
    </row>
    <row r="150" ht="15.75" customHeight="1">
      <c r="A150" s="46"/>
      <c r="B150" s="46"/>
      <c r="C150" s="45"/>
    </row>
    <row r="151" ht="15.75" customHeight="1">
      <c r="A151" s="46"/>
      <c r="B151" s="46"/>
      <c r="C151" s="45"/>
    </row>
    <row r="152" ht="15.75" customHeight="1">
      <c r="A152" s="46"/>
      <c r="B152" s="46"/>
      <c r="C152" s="45"/>
    </row>
    <row r="153" ht="15.75" customHeight="1">
      <c r="A153" s="46"/>
      <c r="B153" s="46"/>
      <c r="C153" s="45"/>
    </row>
    <row r="154" ht="15.75" customHeight="1">
      <c r="A154" s="46"/>
      <c r="B154" s="46"/>
      <c r="C154" s="45"/>
    </row>
    <row r="155" ht="15.75" customHeight="1">
      <c r="A155" s="46"/>
      <c r="B155" s="46"/>
      <c r="C155" s="45"/>
    </row>
    <row r="156" ht="15.75" customHeight="1">
      <c r="A156" s="46"/>
      <c r="B156" s="46"/>
      <c r="C156" s="45"/>
    </row>
    <row r="157" ht="15.75" customHeight="1">
      <c r="A157" s="46"/>
      <c r="B157" s="46"/>
      <c r="C157" s="45"/>
    </row>
    <row r="158" ht="15.75" customHeight="1">
      <c r="A158" s="46"/>
      <c r="B158" s="46"/>
      <c r="C158" s="45"/>
    </row>
    <row r="159" ht="15.75" customHeight="1">
      <c r="A159" s="46"/>
      <c r="B159" s="46"/>
      <c r="C159" s="45"/>
    </row>
    <row r="160" ht="15.75" customHeight="1">
      <c r="A160" s="46"/>
      <c r="B160" s="46"/>
      <c r="C160" s="45"/>
    </row>
    <row r="161" ht="15.75" customHeight="1">
      <c r="A161" s="46"/>
      <c r="B161" s="46"/>
      <c r="C161" s="45"/>
    </row>
    <row r="162" ht="15.75" customHeight="1">
      <c r="A162" s="46"/>
      <c r="B162" s="46"/>
      <c r="C162" s="45"/>
    </row>
    <row r="163" ht="15.75" customHeight="1">
      <c r="A163" s="46"/>
      <c r="B163" s="46"/>
      <c r="C163" s="45"/>
    </row>
    <row r="164" ht="15.75" customHeight="1">
      <c r="A164" s="46"/>
      <c r="B164" s="46"/>
      <c r="C164" s="45"/>
    </row>
    <row r="165" ht="15.75" customHeight="1">
      <c r="A165" s="46"/>
      <c r="B165" s="46"/>
      <c r="C165" s="45"/>
    </row>
    <row r="166" ht="15.75" customHeight="1">
      <c r="A166" s="46"/>
      <c r="B166" s="46"/>
      <c r="C166" s="45"/>
    </row>
    <row r="167" ht="15.75" customHeight="1">
      <c r="A167" s="46"/>
      <c r="B167" s="46"/>
      <c r="C167" s="45"/>
    </row>
    <row r="168" ht="15.75" customHeight="1">
      <c r="A168" s="46"/>
      <c r="B168" s="46"/>
      <c r="C168" s="45"/>
    </row>
    <row r="169" ht="15.75" customHeight="1">
      <c r="A169" s="46"/>
      <c r="B169" s="46"/>
      <c r="C169" s="45"/>
    </row>
    <row r="170" ht="15.75" customHeight="1">
      <c r="A170" s="46"/>
      <c r="B170" s="46"/>
      <c r="C170" s="45"/>
    </row>
    <row r="171" ht="15.75" customHeight="1">
      <c r="A171" s="46"/>
      <c r="B171" s="46"/>
      <c r="C171" s="45"/>
    </row>
    <row r="172" ht="15.75" customHeight="1">
      <c r="A172" s="46"/>
      <c r="B172" s="46"/>
      <c r="C172" s="45"/>
    </row>
    <row r="173" ht="15.75" customHeight="1">
      <c r="A173" s="46"/>
      <c r="B173" s="46"/>
      <c r="C173" s="45"/>
    </row>
    <row r="174" ht="15.75" customHeight="1">
      <c r="A174" s="46"/>
      <c r="B174" s="46"/>
      <c r="C174" s="45"/>
    </row>
    <row r="175" ht="15.75" customHeight="1">
      <c r="A175" s="46"/>
      <c r="B175" s="46"/>
      <c r="C175" s="45"/>
    </row>
    <row r="176" ht="15.75" customHeight="1">
      <c r="A176" s="46"/>
      <c r="B176" s="46"/>
      <c r="C176" s="45"/>
    </row>
    <row r="177" ht="15.75" customHeight="1">
      <c r="A177" s="46"/>
      <c r="B177" s="46"/>
      <c r="C177" s="45"/>
    </row>
    <row r="178" ht="15.75" customHeight="1">
      <c r="A178" s="46"/>
      <c r="B178" s="46"/>
      <c r="C178" s="45"/>
    </row>
    <row r="179" ht="15.75" customHeight="1">
      <c r="A179" s="46"/>
      <c r="B179" s="46"/>
      <c r="C179" s="45"/>
    </row>
    <row r="180" ht="15.75" customHeight="1">
      <c r="A180" s="46"/>
      <c r="B180" s="46"/>
      <c r="C180" s="45"/>
    </row>
    <row r="181" ht="15.75" customHeight="1">
      <c r="A181" s="46"/>
      <c r="B181" s="46"/>
      <c r="C181" s="45"/>
    </row>
    <row r="182" ht="15.75" customHeight="1">
      <c r="A182" s="46"/>
      <c r="B182" s="46"/>
      <c r="C182" s="45"/>
    </row>
    <row r="183" ht="15.75" customHeight="1">
      <c r="A183" s="46"/>
      <c r="B183" s="46"/>
      <c r="C183" s="45"/>
    </row>
    <row r="184" ht="15.75" customHeight="1">
      <c r="A184" s="46"/>
      <c r="B184" s="46"/>
      <c r="C184" s="45"/>
    </row>
    <row r="185" ht="15.75" customHeight="1">
      <c r="A185" s="46"/>
      <c r="B185" s="46"/>
      <c r="C185" s="45"/>
    </row>
    <row r="186" ht="15.75" customHeight="1">
      <c r="A186" s="46"/>
      <c r="B186" s="46"/>
      <c r="C186" s="45"/>
    </row>
    <row r="187" ht="15.75" customHeight="1">
      <c r="A187" s="46"/>
      <c r="B187" s="46"/>
      <c r="C187" s="45"/>
    </row>
    <row r="188" ht="15.75" customHeight="1">
      <c r="A188" s="46"/>
      <c r="B188" s="46"/>
      <c r="C188" s="45"/>
    </row>
    <row r="189" ht="15.75" customHeight="1">
      <c r="A189" s="46"/>
      <c r="B189" s="46"/>
      <c r="C189" s="45"/>
    </row>
    <row r="190" ht="15.75" customHeight="1">
      <c r="A190" s="46"/>
      <c r="B190" s="46"/>
      <c r="C190" s="45"/>
    </row>
    <row r="191" ht="15.75" customHeight="1">
      <c r="A191" s="46"/>
      <c r="B191" s="46"/>
      <c r="C191" s="45"/>
    </row>
    <row r="192" ht="15.75" customHeight="1">
      <c r="A192" s="46"/>
      <c r="B192" s="46"/>
      <c r="C192" s="45"/>
    </row>
    <row r="193" ht="15.75" customHeight="1">
      <c r="A193" s="46"/>
      <c r="B193" s="46"/>
      <c r="C193" s="45"/>
    </row>
    <row r="194" ht="15.75" customHeight="1">
      <c r="A194" s="46"/>
      <c r="B194" s="46"/>
      <c r="C194" s="45"/>
    </row>
    <row r="195" ht="15.75" customHeight="1">
      <c r="A195" s="46"/>
      <c r="B195" s="46"/>
      <c r="C195" s="45"/>
    </row>
    <row r="196" ht="15.75" customHeight="1">
      <c r="A196" s="46"/>
      <c r="B196" s="46"/>
      <c r="C196" s="45"/>
    </row>
    <row r="197" ht="15.75" customHeight="1">
      <c r="A197" s="46"/>
      <c r="B197" s="46"/>
      <c r="C197" s="45"/>
    </row>
    <row r="198" ht="15.75" customHeight="1">
      <c r="A198" s="46"/>
      <c r="B198" s="46"/>
      <c r="C198" s="45"/>
    </row>
    <row r="199" ht="15.75" customHeight="1">
      <c r="A199" s="46"/>
      <c r="B199" s="46"/>
      <c r="C199" s="45"/>
    </row>
    <row r="200" ht="15.75" customHeight="1">
      <c r="A200" s="46"/>
      <c r="B200" s="46"/>
      <c r="C200" s="45"/>
    </row>
    <row r="201" ht="15.75" customHeight="1">
      <c r="A201" s="46"/>
      <c r="B201" s="46"/>
      <c r="C201" s="45"/>
    </row>
    <row r="202" ht="15.75" customHeight="1">
      <c r="A202" s="46"/>
      <c r="B202" s="46"/>
      <c r="C202" s="45"/>
    </row>
    <row r="203" ht="15.75" customHeight="1">
      <c r="A203" s="46"/>
      <c r="B203" s="46"/>
      <c r="C203" s="45"/>
    </row>
    <row r="204" ht="15.75" customHeight="1">
      <c r="A204" s="46"/>
      <c r="B204" s="46"/>
      <c r="C204" s="45"/>
    </row>
    <row r="205" ht="15.75" customHeight="1">
      <c r="A205" s="46"/>
      <c r="B205" s="46"/>
      <c r="C205" s="45"/>
    </row>
    <row r="206" ht="15.75" customHeight="1">
      <c r="A206" s="46"/>
      <c r="B206" s="46"/>
      <c r="C206" s="45"/>
    </row>
    <row r="207" ht="15.75" customHeight="1">
      <c r="A207" s="46"/>
      <c r="B207" s="46"/>
      <c r="C207" s="45"/>
    </row>
    <row r="208" ht="15.75" customHeight="1">
      <c r="A208" s="46"/>
      <c r="B208" s="46"/>
      <c r="C208" s="45"/>
    </row>
    <row r="209" ht="15.75" customHeight="1">
      <c r="A209" s="46"/>
      <c r="B209" s="46"/>
      <c r="C209" s="45"/>
    </row>
    <row r="210" ht="15.75" customHeight="1">
      <c r="A210" s="46"/>
      <c r="B210" s="46"/>
      <c r="C210" s="45"/>
    </row>
    <row r="211" ht="15.75" customHeight="1">
      <c r="A211" s="46"/>
      <c r="B211" s="46"/>
      <c r="C211" s="45"/>
    </row>
    <row r="212" ht="15.75" customHeight="1">
      <c r="A212" s="46"/>
      <c r="B212" s="46"/>
      <c r="C212" s="45"/>
    </row>
    <row r="213" ht="15.75" customHeight="1">
      <c r="A213" s="46"/>
      <c r="B213" s="46"/>
      <c r="C213" s="45"/>
    </row>
    <row r="214" ht="15.75" customHeight="1">
      <c r="A214" s="46"/>
      <c r="B214" s="46"/>
      <c r="C214" s="45"/>
    </row>
    <row r="215" ht="15.75" customHeight="1">
      <c r="A215" s="46"/>
      <c r="B215" s="46"/>
      <c r="C215" s="45"/>
    </row>
    <row r="216" ht="15.75" customHeight="1">
      <c r="A216" s="46"/>
      <c r="B216" s="46"/>
      <c r="C216" s="45"/>
    </row>
    <row r="217" ht="15.75" customHeight="1">
      <c r="A217" s="46"/>
      <c r="B217" s="46"/>
      <c r="C217" s="45"/>
    </row>
    <row r="218" ht="15.75" customHeight="1">
      <c r="A218" s="46"/>
      <c r="B218" s="46"/>
      <c r="C218" s="45"/>
    </row>
    <row r="219" ht="15.75" customHeight="1">
      <c r="A219" s="46"/>
      <c r="B219" s="46"/>
      <c r="C219" s="45"/>
    </row>
    <row r="220" ht="15.75" customHeight="1">
      <c r="A220" s="46"/>
      <c r="B220" s="46"/>
      <c r="C220" s="45"/>
    </row>
    <row r="221" ht="15.75" customHeight="1">
      <c r="A221" s="46"/>
      <c r="B221" s="46"/>
      <c r="C221" s="45"/>
    </row>
    <row r="222" ht="15.75" customHeight="1">
      <c r="A222" s="46"/>
      <c r="B222" s="46"/>
      <c r="C222" s="45"/>
    </row>
    <row r="223" ht="15.75" customHeight="1">
      <c r="A223" s="46"/>
      <c r="B223" s="46"/>
      <c r="C223" s="45"/>
    </row>
    <row r="224" ht="15.75" customHeight="1">
      <c r="A224" s="46"/>
      <c r="B224" s="46"/>
      <c r="C224" s="45"/>
    </row>
    <row r="225" ht="15.75" customHeight="1">
      <c r="A225" s="46"/>
      <c r="B225" s="46"/>
      <c r="C225" s="45"/>
    </row>
    <row r="226" ht="15.75" customHeight="1">
      <c r="A226" s="46"/>
      <c r="B226" s="46"/>
      <c r="C226" s="45"/>
    </row>
    <row r="227" ht="15.75" customHeight="1">
      <c r="A227" s="46"/>
      <c r="B227" s="46"/>
      <c r="C227" s="45"/>
    </row>
    <row r="228" ht="15.75" customHeight="1">
      <c r="A228" s="46"/>
      <c r="B228" s="46"/>
      <c r="C228" s="45"/>
    </row>
    <row r="229" ht="15.75" customHeight="1">
      <c r="A229" s="46"/>
      <c r="B229" s="46"/>
      <c r="C229" s="45"/>
    </row>
    <row r="230" ht="15.75" customHeight="1">
      <c r="A230" s="46"/>
      <c r="B230" s="46"/>
      <c r="C230" s="45"/>
    </row>
    <row r="231" ht="15.75" customHeight="1">
      <c r="A231" s="46"/>
      <c r="B231" s="46"/>
      <c r="C231" s="45"/>
    </row>
    <row r="232" ht="15.75" customHeight="1">
      <c r="A232" s="46"/>
      <c r="B232" s="46"/>
      <c r="C232" s="45"/>
    </row>
    <row r="233" ht="15.75" customHeight="1">
      <c r="A233" s="46"/>
      <c r="B233" s="46"/>
      <c r="C233" s="45"/>
    </row>
    <row r="234" ht="15.75" customHeight="1">
      <c r="A234" s="46"/>
      <c r="B234" s="46"/>
      <c r="C234" s="45"/>
    </row>
    <row r="235" ht="15.75" customHeight="1">
      <c r="A235" s="46"/>
      <c r="B235" s="46"/>
      <c r="C235" s="45"/>
    </row>
    <row r="236" ht="15.75" customHeight="1">
      <c r="A236" s="46"/>
      <c r="B236" s="46"/>
      <c r="C236" s="4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9:B10"/>
    <mergeCell ref="B11:B12"/>
    <mergeCell ref="H12:H13"/>
    <mergeCell ref="D13:G14"/>
    <mergeCell ref="A1:A2"/>
    <mergeCell ref="B1:B2"/>
    <mergeCell ref="C1:C2"/>
    <mergeCell ref="D1:G1"/>
    <mergeCell ref="B3:B4"/>
    <mergeCell ref="B5:B6"/>
    <mergeCell ref="B7:B8"/>
  </mergeCells>
  <hyperlinks>
    <hyperlink r:id="rId1" ref="H31"/>
    <hyperlink r:id="rId2" ref="H32"/>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9.38"/>
    <col customWidth="1" min="2" max="2" width="46.5"/>
    <col customWidth="1" min="3" max="3" width="41.88"/>
    <col customWidth="1" min="4" max="4" width="26.13"/>
    <col customWidth="1" min="5" max="5" width="31.0"/>
    <col customWidth="1" min="6" max="6" width="25.5"/>
    <col customWidth="1" min="7" max="7" width="24.25"/>
  </cols>
  <sheetData>
    <row r="1" ht="15.75" customHeight="1">
      <c r="A1" s="52" t="s">
        <v>566</v>
      </c>
      <c r="B1" s="52" t="s">
        <v>622</v>
      </c>
      <c r="C1" s="53" t="s">
        <v>623</v>
      </c>
      <c r="D1" s="54" t="s">
        <v>624</v>
      </c>
      <c r="E1" s="16"/>
      <c r="F1" s="16"/>
      <c r="G1" s="17"/>
    </row>
    <row r="2" ht="15.75" customHeight="1">
      <c r="A2" s="34"/>
      <c r="B2" s="34"/>
      <c r="C2" s="34"/>
      <c r="D2" s="55" t="s">
        <v>625</v>
      </c>
      <c r="E2" s="55" t="s">
        <v>626</v>
      </c>
      <c r="F2" s="55" t="s">
        <v>627</v>
      </c>
      <c r="G2" s="55" t="s">
        <v>628</v>
      </c>
    </row>
    <row r="3" ht="15.75" customHeight="1">
      <c r="A3" s="56">
        <v>1.0</v>
      </c>
      <c r="B3" s="57" t="s">
        <v>629</v>
      </c>
      <c r="C3" s="58" t="s">
        <v>630</v>
      </c>
      <c r="D3" s="59" t="s">
        <v>631</v>
      </c>
      <c r="E3" s="59" t="s">
        <v>632</v>
      </c>
      <c r="F3" s="59" t="s">
        <v>633</v>
      </c>
      <c r="G3" s="59"/>
    </row>
    <row r="4" ht="15.75" customHeight="1">
      <c r="A4" s="56">
        <v>2.0</v>
      </c>
      <c r="B4" s="34"/>
      <c r="C4" s="58" t="s">
        <v>634</v>
      </c>
      <c r="D4" s="59" t="s">
        <v>635</v>
      </c>
      <c r="E4" s="59" t="s">
        <v>581</v>
      </c>
      <c r="F4" s="59"/>
      <c r="G4" s="59"/>
    </row>
    <row r="5" ht="15.75" customHeight="1">
      <c r="A5" s="56">
        <v>3.0</v>
      </c>
      <c r="B5" s="57" t="s">
        <v>636</v>
      </c>
      <c r="C5" s="58" t="s">
        <v>637</v>
      </c>
      <c r="D5" s="59" t="s">
        <v>638</v>
      </c>
      <c r="E5" s="59"/>
      <c r="F5" s="59"/>
      <c r="G5" s="59"/>
    </row>
    <row r="6" ht="15.75" customHeight="1">
      <c r="A6" s="56">
        <v>4.0</v>
      </c>
      <c r="B6" s="34"/>
      <c r="C6" s="58" t="s">
        <v>639</v>
      </c>
      <c r="D6" s="59" t="s">
        <v>640</v>
      </c>
      <c r="E6" s="59"/>
      <c r="F6" s="59"/>
      <c r="G6" s="59"/>
    </row>
    <row r="7" ht="15.75" customHeight="1">
      <c r="A7" s="56">
        <v>5.0</v>
      </c>
      <c r="B7" s="57" t="s">
        <v>641</v>
      </c>
      <c r="C7" s="58" t="s">
        <v>642</v>
      </c>
      <c r="D7" s="59" t="s">
        <v>631</v>
      </c>
      <c r="E7" s="59" t="s">
        <v>632</v>
      </c>
      <c r="F7" s="59" t="s">
        <v>633</v>
      </c>
      <c r="G7" s="59"/>
    </row>
    <row r="8" ht="15.75" customHeight="1">
      <c r="A8" s="56">
        <v>6.0</v>
      </c>
      <c r="B8" s="34"/>
      <c r="C8" s="58" t="s">
        <v>589</v>
      </c>
      <c r="D8" s="59" t="s">
        <v>635</v>
      </c>
      <c r="E8" s="59" t="s">
        <v>590</v>
      </c>
      <c r="F8" s="59" t="s">
        <v>633</v>
      </c>
      <c r="G8" s="59"/>
    </row>
    <row r="9" ht="15.75" customHeight="1">
      <c r="A9" s="56">
        <v>7.0</v>
      </c>
      <c r="B9" s="57" t="s">
        <v>643</v>
      </c>
      <c r="C9" s="58" t="s">
        <v>642</v>
      </c>
      <c r="D9" s="59" t="s">
        <v>631</v>
      </c>
      <c r="E9" s="59" t="s">
        <v>632</v>
      </c>
      <c r="F9" s="59" t="s">
        <v>633</v>
      </c>
      <c r="G9" s="59"/>
    </row>
    <row r="10" ht="15.75" customHeight="1">
      <c r="A10" s="56">
        <v>8.0</v>
      </c>
      <c r="B10" s="34"/>
      <c r="C10" s="58" t="s">
        <v>589</v>
      </c>
      <c r="D10" s="59" t="s">
        <v>635</v>
      </c>
      <c r="E10" s="59" t="s">
        <v>590</v>
      </c>
      <c r="F10" s="59" t="s">
        <v>633</v>
      </c>
      <c r="G10" s="59"/>
    </row>
    <row r="11" ht="15.75" customHeight="1">
      <c r="A11" s="56">
        <v>9.0</v>
      </c>
      <c r="B11" s="57" t="s">
        <v>644</v>
      </c>
      <c r="C11" s="58" t="s">
        <v>642</v>
      </c>
      <c r="D11" s="59" t="s">
        <v>631</v>
      </c>
      <c r="E11" s="59" t="s">
        <v>645</v>
      </c>
      <c r="F11" s="59" t="s">
        <v>633</v>
      </c>
      <c r="G11" s="59"/>
    </row>
    <row r="12" ht="15.75" customHeight="1">
      <c r="A12" s="56">
        <v>10.0</v>
      </c>
      <c r="B12" s="34"/>
      <c r="C12" s="58" t="s">
        <v>589</v>
      </c>
      <c r="D12" s="59" t="s">
        <v>635</v>
      </c>
      <c r="E12" s="59" t="s">
        <v>581</v>
      </c>
      <c r="F12" s="59" t="s">
        <v>633</v>
      </c>
      <c r="G12" s="59"/>
      <c r="H12" s="45"/>
    </row>
    <row r="13" ht="15.75" customHeight="1">
      <c r="A13" s="56">
        <v>11.0</v>
      </c>
      <c r="B13" s="56" t="s">
        <v>646</v>
      </c>
      <c r="C13" s="58" t="s">
        <v>642</v>
      </c>
      <c r="D13" s="60" t="s">
        <v>647</v>
      </c>
      <c r="E13" s="61"/>
      <c r="F13" s="61"/>
      <c r="G13" s="62"/>
    </row>
    <row r="14" ht="15.75" customHeight="1">
      <c r="A14" s="56">
        <v>12.0</v>
      </c>
      <c r="B14" s="56" t="s">
        <v>648</v>
      </c>
      <c r="C14" s="58" t="s">
        <v>589</v>
      </c>
      <c r="D14" s="63"/>
      <c r="E14" s="5"/>
      <c r="F14" s="5"/>
      <c r="G14" s="6"/>
    </row>
    <row r="15" ht="15.75" customHeight="1">
      <c r="A15" s="56">
        <v>13.0</v>
      </c>
      <c r="B15" s="56" t="s">
        <v>649</v>
      </c>
      <c r="C15" s="58" t="s">
        <v>642</v>
      </c>
      <c r="D15" s="59" t="s">
        <v>650</v>
      </c>
      <c r="E15" s="59"/>
      <c r="F15" s="59"/>
      <c r="G15" s="59"/>
    </row>
    <row r="16" ht="15.75" customHeight="1">
      <c r="A16" s="56">
        <v>14.0</v>
      </c>
      <c r="B16" s="56"/>
      <c r="C16" s="58" t="s">
        <v>589</v>
      </c>
      <c r="D16" s="59" t="s">
        <v>651</v>
      </c>
      <c r="E16" s="59"/>
      <c r="F16" s="59"/>
      <c r="G16" s="59"/>
    </row>
    <row r="17" ht="15.75" customHeight="1">
      <c r="A17" s="56">
        <v>15.0</v>
      </c>
      <c r="B17" s="56" t="s">
        <v>652</v>
      </c>
      <c r="C17" s="58" t="s">
        <v>642</v>
      </c>
      <c r="D17" s="59" t="s">
        <v>653</v>
      </c>
      <c r="E17" s="59" t="s">
        <v>603</v>
      </c>
      <c r="F17" s="59"/>
      <c r="G17" s="59"/>
    </row>
    <row r="18" ht="15.75" customHeight="1">
      <c r="A18" s="56">
        <v>16.0</v>
      </c>
      <c r="B18" s="56"/>
      <c r="C18" s="58" t="s">
        <v>589</v>
      </c>
      <c r="D18" s="59" t="s">
        <v>651</v>
      </c>
      <c r="E18" s="59" t="s">
        <v>604</v>
      </c>
      <c r="F18" s="59"/>
      <c r="G18" s="59"/>
    </row>
    <row r="19" ht="15.75" customHeight="1">
      <c r="A19" s="56">
        <v>17.0</v>
      </c>
      <c r="B19" s="56" t="s">
        <v>654</v>
      </c>
      <c r="C19" s="58" t="s">
        <v>642</v>
      </c>
      <c r="D19" s="59" t="s">
        <v>653</v>
      </c>
      <c r="E19" s="59" t="s">
        <v>603</v>
      </c>
      <c r="F19" s="59" t="s">
        <v>633</v>
      </c>
      <c r="G19" s="59"/>
    </row>
    <row r="20" ht="15.75" customHeight="1">
      <c r="A20" s="56">
        <v>18.0</v>
      </c>
      <c r="B20" s="56"/>
      <c r="C20" s="58" t="s">
        <v>589</v>
      </c>
      <c r="D20" s="59" t="s">
        <v>651</v>
      </c>
      <c r="E20" s="59" t="s">
        <v>604</v>
      </c>
      <c r="F20" s="59" t="s">
        <v>633</v>
      </c>
      <c r="G20" s="59"/>
    </row>
    <row r="21" ht="15.75" customHeight="1">
      <c r="A21" s="56">
        <v>19.0</v>
      </c>
      <c r="B21" s="56" t="s">
        <v>655</v>
      </c>
      <c r="C21" s="58" t="s">
        <v>642</v>
      </c>
      <c r="D21" s="59" t="s">
        <v>631</v>
      </c>
      <c r="E21" s="59" t="s">
        <v>632</v>
      </c>
      <c r="F21" s="59" t="s">
        <v>633</v>
      </c>
      <c r="G21" s="59" t="s">
        <v>633</v>
      </c>
    </row>
    <row r="22" ht="15.75" customHeight="1">
      <c r="A22" s="56">
        <v>20.0</v>
      </c>
      <c r="B22" s="56"/>
      <c r="C22" s="58" t="s">
        <v>589</v>
      </c>
      <c r="D22" s="59" t="s">
        <v>651</v>
      </c>
      <c r="E22" s="59" t="s">
        <v>604</v>
      </c>
      <c r="F22" s="59" t="s">
        <v>633</v>
      </c>
      <c r="G22" s="59" t="s">
        <v>633</v>
      </c>
    </row>
    <row r="23" ht="15.75" customHeight="1">
      <c r="A23" s="56">
        <v>21.0</v>
      </c>
      <c r="B23" s="56" t="s">
        <v>656</v>
      </c>
      <c r="C23" s="58" t="s">
        <v>642</v>
      </c>
      <c r="D23" s="59" t="s">
        <v>632</v>
      </c>
      <c r="E23" s="59"/>
      <c r="F23" s="59"/>
      <c r="G23" s="59"/>
    </row>
    <row r="24" ht="15.75" customHeight="1">
      <c r="A24" s="56">
        <v>22.0</v>
      </c>
      <c r="B24" s="56"/>
      <c r="C24" s="58" t="s">
        <v>589</v>
      </c>
      <c r="D24" s="59" t="s">
        <v>657</v>
      </c>
      <c r="E24" s="59"/>
      <c r="F24" s="59"/>
      <c r="G24" s="59"/>
    </row>
    <row r="25" ht="15.75" customHeight="1">
      <c r="A25" s="56">
        <v>23.0</v>
      </c>
      <c r="B25" s="56" t="s">
        <v>658</v>
      </c>
      <c r="C25" s="58" t="s">
        <v>642</v>
      </c>
      <c r="D25" s="59" t="s">
        <v>631</v>
      </c>
      <c r="E25" s="59" t="s">
        <v>659</v>
      </c>
      <c r="F25" s="59"/>
      <c r="G25" s="59"/>
    </row>
    <row r="26" ht="15.75" customHeight="1">
      <c r="A26" s="56">
        <v>24.0</v>
      </c>
      <c r="B26" s="56"/>
      <c r="C26" s="58" t="s">
        <v>589</v>
      </c>
      <c r="D26" s="59" t="s">
        <v>657</v>
      </c>
      <c r="E26" s="59" t="s">
        <v>590</v>
      </c>
      <c r="F26" s="59"/>
      <c r="G26" s="59"/>
    </row>
    <row r="27" ht="15.75" customHeight="1">
      <c r="A27" s="56">
        <v>25.0</v>
      </c>
      <c r="B27" s="56" t="s">
        <v>660</v>
      </c>
      <c r="C27" s="58" t="s">
        <v>642</v>
      </c>
      <c r="D27" s="59" t="s">
        <v>631</v>
      </c>
      <c r="E27" s="59" t="s">
        <v>659</v>
      </c>
      <c r="F27" s="59" t="s">
        <v>633</v>
      </c>
      <c r="G27" s="59"/>
    </row>
    <row r="28" ht="15.75" customHeight="1">
      <c r="A28" s="56">
        <v>26.0</v>
      </c>
      <c r="B28" s="56"/>
      <c r="C28" s="58" t="s">
        <v>589</v>
      </c>
      <c r="D28" s="59" t="s">
        <v>635</v>
      </c>
      <c r="E28" s="59" t="s">
        <v>590</v>
      </c>
      <c r="F28" s="59" t="s">
        <v>633</v>
      </c>
      <c r="G28" s="59"/>
    </row>
    <row r="29" ht="15.75" customHeight="1">
      <c r="A29" s="56">
        <v>27.0</v>
      </c>
      <c r="B29" s="56" t="s">
        <v>661</v>
      </c>
      <c r="C29" s="64" t="s">
        <v>642</v>
      </c>
      <c r="D29" s="59" t="s">
        <v>631</v>
      </c>
      <c r="E29" s="59" t="s">
        <v>659</v>
      </c>
      <c r="F29" s="59" t="s">
        <v>633</v>
      </c>
      <c r="G29" s="59" t="s">
        <v>633</v>
      </c>
    </row>
    <row r="30" ht="15.75" customHeight="1">
      <c r="A30" s="56">
        <v>28.0</v>
      </c>
      <c r="B30" s="56"/>
      <c r="C30" s="64" t="s">
        <v>589</v>
      </c>
      <c r="D30" s="65" t="s">
        <v>662</v>
      </c>
      <c r="E30" s="65" t="s">
        <v>663</v>
      </c>
      <c r="F30" s="65" t="s">
        <v>633</v>
      </c>
      <c r="G30" s="65" t="s">
        <v>633</v>
      </c>
    </row>
    <row r="31" ht="15.75" customHeight="1">
      <c r="A31" s="56">
        <v>29.0</v>
      </c>
      <c r="B31" s="56" t="s">
        <v>664</v>
      </c>
      <c r="C31" s="64" t="s">
        <v>642</v>
      </c>
      <c r="D31" s="68" t="s">
        <v>631</v>
      </c>
      <c r="E31" s="66" t="s">
        <v>632</v>
      </c>
      <c r="F31" s="66" t="s">
        <v>615</v>
      </c>
      <c r="G31" s="66" t="s">
        <v>616</v>
      </c>
      <c r="H31" s="67" t="s">
        <v>617</v>
      </c>
    </row>
    <row r="32" ht="15.75" customHeight="1">
      <c r="A32" s="56">
        <v>30.0</v>
      </c>
      <c r="B32" s="56"/>
      <c r="C32" s="64" t="s">
        <v>589</v>
      </c>
      <c r="D32" s="68" t="s">
        <v>665</v>
      </c>
      <c r="E32" s="68" t="s">
        <v>666</v>
      </c>
      <c r="F32" s="66" t="s">
        <v>615</v>
      </c>
      <c r="G32" s="66" t="s">
        <v>616</v>
      </c>
      <c r="H32" s="67" t="s">
        <v>620</v>
      </c>
    </row>
    <row r="33" ht="15.75" customHeight="1">
      <c r="A33" s="46"/>
      <c r="B33" s="46"/>
      <c r="C33" s="45"/>
    </row>
    <row r="34" ht="15.75" customHeight="1">
      <c r="A34" s="46"/>
      <c r="B34" s="46"/>
      <c r="C34" s="45"/>
    </row>
    <row r="35" ht="15.75" customHeight="1">
      <c r="A35" s="46"/>
      <c r="B35" s="46"/>
      <c r="C35" s="45"/>
      <c r="D35" s="45"/>
      <c r="E35" s="45"/>
      <c r="F35" s="45"/>
      <c r="G35" s="45"/>
      <c r="H35" s="45"/>
    </row>
    <row r="36" ht="15.75" customHeight="1">
      <c r="A36" s="46"/>
      <c r="B36" s="46"/>
      <c r="C36" s="45"/>
    </row>
    <row r="37" ht="15.75" customHeight="1">
      <c r="A37" s="46"/>
      <c r="B37" s="46"/>
      <c r="C37" s="45"/>
    </row>
    <row r="38" ht="15.75" customHeight="1">
      <c r="A38" s="46"/>
      <c r="B38" s="46"/>
      <c r="C38" s="45"/>
    </row>
    <row r="39" ht="15.75" customHeight="1">
      <c r="A39" s="46"/>
      <c r="B39" s="46"/>
      <c r="C39" s="45"/>
    </row>
    <row r="40" ht="15.75" customHeight="1">
      <c r="A40" s="46"/>
      <c r="B40" s="46"/>
      <c r="C40" s="45"/>
    </row>
    <row r="41" ht="15.75" customHeight="1">
      <c r="A41" s="46"/>
      <c r="B41" s="46"/>
      <c r="C41" s="45"/>
    </row>
    <row r="42" ht="15.75" customHeight="1">
      <c r="A42" s="46"/>
      <c r="B42" s="46"/>
      <c r="C42" s="45"/>
    </row>
    <row r="43" ht="15.75" customHeight="1">
      <c r="A43" s="46"/>
      <c r="B43" s="46"/>
      <c r="C43" s="45"/>
    </row>
    <row r="44" ht="15.75" customHeight="1">
      <c r="A44" s="46"/>
      <c r="B44" s="46"/>
      <c r="C44" s="45"/>
    </row>
    <row r="45" ht="15.75" customHeight="1">
      <c r="A45" s="46"/>
      <c r="B45" s="46"/>
      <c r="C45" s="45"/>
    </row>
    <row r="46" ht="15.75" customHeight="1">
      <c r="A46" s="46"/>
      <c r="B46" s="46"/>
      <c r="C46" s="45"/>
    </row>
    <row r="47" ht="15.75" customHeight="1">
      <c r="A47" s="46"/>
      <c r="B47" s="46"/>
      <c r="C47" s="45"/>
    </row>
    <row r="48" ht="15.75" customHeight="1">
      <c r="A48" s="46"/>
      <c r="B48" s="46"/>
      <c r="C48" s="45"/>
    </row>
    <row r="49" ht="15.75" customHeight="1">
      <c r="A49" s="46"/>
      <c r="B49" s="46"/>
      <c r="C49" s="45"/>
    </row>
    <row r="50" ht="15.75" customHeight="1">
      <c r="A50" s="46"/>
      <c r="B50" s="46"/>
      <c r="C50" s="45"/>
    </row>
    <row r="51" ht="15.75" customHeight="1">
      <c r="A51" s="46"/>
      <c r="B51" s="46"/>
      <c r="C51" s="45"/>
    </row>
    <row r="52" ht="15.75" customHeight="1">
      <c r="A52" s="46"/>
      <c r="B52" s="46"/>
      <c r="C52" s="45"/>
    </row>
    <row r="53" ht="15.75" customHeight="1">
      <c r="A53" s="46"/>
      <c r="B53" s="46"/>
      <c r="C53" s="45"/>
    </row>
    <row r="54" ht="15.75" customHeight="1">
      <c r="A54" s="46"/>
      <c r="B54" s="46"/>
      <c r="C54" s="45"/>
    </row>
    <row r="55" ht="15.75" customHeight="1">
      <c r="A55" s="46"/>
      <c r="B55" s="46"/>
      <c r="C55" s="45"/>
    </row>
    <row r="56" ht="15.75" customHeight="1">
      <c r="A56" s="46"/>
      <c r="B56" s="46"/>
      <c r="C56" s="45"/>
    </row>
    <row r="57" ht="15.75" customHeight="1">
      <c r="A57" s="46"/>
      <c r="B57" s="46"/>
      <c r="C57" s="45"/>
    </row>
    <row r="58" ht="15.75" customHeight="1">
      <c r="A58" s="46"/>
      <c r="B58" s="46"/>
      <c r="C58" s="45"/>
    </row>
    <row r="59" ht="15.75" customHeight="1">
      <c r="A59" s="46"/>
      <c r="B59" s="46"/>
      <c r="C59" s="45"/>
    </row>
    <row r="60" ht="15.75" customHeight="1">
      <c r="A60" s="46"/>
      <c r="B60" s="46"/>
      <c r="C60" s="45"/>
    </row>
    <row r="61" ht="15.75" customHeight="1">
      <c r="A61" s="46"/>
      <c r="B61" s="46"/>
      <c r="C61" s="45"/>
    </row>
    <row r="62" ht="15.75" customHeight="1">
      <c r="A62" s="46"/>
      <c r="B62" s="46"/>
      <c r="C62" s="45"/>
    </row>
    <row r="63" ht="15.75" customHeight="1">
      <c r="A63" s="46"/>
      <c r="B63" s="46"/>
      <c r="C63" s="45"/>
    </row>
    <row r="64" ht="15.75" customHeight="1">
      <c r="A64" s="46"/>
      <c r="B64" s="46"/>
      <c r="C64" s="45"/>
    </row>
    <row r="65" ht="15.75" customHeight="1">
      <c r="A65" s="46"/>
      <c r="B65" s="46"/>
      <c r="C65" s="45"/>
    </row>
    <row r="66" ht="15.75" customHeight="1">
      <c r="A66" s="46"/>
      <c r="B66" s="46"/>
      <c r="C66" s="45"/>
    </row>
    <row r="67" ht="15.75" customHeight="1">
      <c r="A67" s="46"/>
      <c r="B67" s="46"/>
      <c r="C67" s="45"/>
    </row>
    <row r="68" ht="15.75" customHeight="1">
      <c r="A68" s="46"/>
      <c r="B68" s="46"/>
      <c r="C68" s="45"/>
    </row>
    <row r="69" ht="15.75" customHeight="1">
      <c r="A69" s="46"/>
      <c r="B69" s="46"/>
      <c r="C69" s="45"/>
    </row>
    <row r="70" ht="15.75" customHeight="1">
      <c r="A70" s="46"/>
      <c r="B70" s="46"/>
      <c r="C70" s="45"/>
    </row>
    <row r="71" ht="15.75" customHeight="1">
      <c r="A71" s="46"/>
      <c r="B71" s="46"/>
      <c r="C71" s="45"/>
    </row>
    <row r="72" ht="15.75" customHeight="1">
      <c r="A72" s="46"/>
      <c r="B72" s="46"/>
      <c r="C72" s="45"/>
    </row>
    <row r="73" ht="15.75" customHeight="1">
      <c r="A73" s="46"/>
      <c r="B73" s="46"/>
      <c r="C73" s="45"/>
    </row>
    <row r="74" ht="15.75" customHeight="1">
      <c r="A74" s="46"/>
      <c r="B74" s="46"/>
      <c r="C74" s="45"/>
    </row>
    <row r="75" ht="15.75" customHeight="1">
      <c r="A75" s="46"/>
      <c r="B75" s="46"/>
      <c r="C75" s="45"/>
    </row>
    <row r="76" ht="15.75" customHeight="1">
      <c r="A76" s="46"/>
      <c r="B76" s="46"/>
      <c r="C76" s="45"/>
    </row>
    <row r="77" ht="15.75" customHeight="1">
      <c r="A77" s="46"/>
      <c r="B77" s="46"/>
      <c r="C77" s="45"/>
    </row>
    <row r="78" ht="15.75" customHeight="1">
      <c r="A78" s="46"/>
      <c r="B78" s="46"/>
      <c r="C78" s="45"/>
    </row>
    <row r="79" ht="15.75" customHeight="1">
      <c r="A79" s="46"/>
      <c r="B79" s="46"/>
      <c r="C79" s="45"/>
    </row>
    <row r="80" ht="15.75" customHeight="1">
      <c r="A80" s="46"/>
      <c r="B80" s="46"/>
      <c r="C80" s="45"/>
    </row>
    <row r="81" ht="15.75" customHeight="1">
      <c r="A81" s="46"/>
      <c r="B81" s="46"/>
      <c r="C81" s="45"/>
    </row>
    <row r="82" ht="15.75" customHeight="1">
      <c r="A82" s="46"/>
      <c r="B82" s="46"/>
      <c r="C82" s="45"/>
    </row>
    <row r="83" ht="15.75" customHeight="1">
      <c r="A83" s="46"/>
      <c r="B83" s="46"/>
      <c r="C83" s="45"/>
    </row>
    <row r="84" ht="15.75" customHeight="1">
      <c r="A84" s="46"/>
      <c r="B84" s="46"/>
      <c r="C84" s="45"/>
    </row>
    <row r="85" ht="15.75" customHeight="1">
      <c r="A85" s="46"/>
      <c r="B85" s="46"/>
      <c r="C85" s="45"/>
    </row>
    <row r="86" ht="15.75" customHeight="1">
      <c r="A86" s="46"/>
      <c r="B86" s="46"/>
      <c r="C86" s="45"/>
    </row>
    <row r="87" ht="15.75" customHeight="1">
      <c r="A87" s="46"/>
      <c r="B87" s="46"/>
      <c r="C87" s="45"/>
    </row>
    <row r="88" ht="15.75" customHeight="1">
      <c r="A88" s="46"/>
      <c r="B88" s="46"/>
      <c r="C88" s="45"/>
    </row>
    <row r="89" ht="15.75" customHeight="1">
      <c r="A89" s="46"/>
      <c r="B89" s="46"/>
      <c r="C89" s="45"/>
    </row>
    <row r="90" ht="15.75" customHeight="1">
      <c r="A90" s="46"/>
      <c r="B90" s="46"/>
      <c r="C90" s="45"/>
    </row>
    <row r="91" ht="15.75" customHeight="1">
      <c r="A91" s="46"/>
      <c r="B91" s="46"/>
      <c r="C91" s="45"/>
    </row>
    <row r="92" ht="15.75" customHeight="1">
      <c r="A92" s="46"/>
      <c r="B92" s="46"/>
      <c r="C92" s="45"/>
    </row>
    <row r="93" ht="15.75" customHeight="1">
      <c r="A93" s="46"/>
      <c r="B93" s="46"/>
      <c r="C93" s="45"/>
    </row>
    <row r="94" ht="15.75" customHeight="1">
      <c r="A94" s="46"/>
      <c r="B94" s="46"/>
      <c r="C94" s="45"/>
    </row>
    <row r="95" ht="15.75" customHeight="1">
      <c r="A95" s="46"/>
      <c r="B95" s="46"/>
      <c r="C95" s="45"/>
    </row>
    <row r="96" ht="15.75" customHeight="1">
      <c r="A96" s="46"/>
      <c r="B96" s="46"/>
      <c r="C96" s="45"/>
    </row>
    <row r="97" ht="15.75" customHeight="1">
      <c r="A97" s="46"/>
      <c r="B97" s="46"/>
      <c r="C97" s="45"/>
    </row>
    <row r="98" ht="15.75" customHeight="1">
      <c r="A98" s="46"/>
      <c r="B98" s="46"/>
      <c r="C98" s="45"/>
    </row>
    <row r="99" ht="15.75" customHeight="1">
      <c r="A99" s="46"/>
      <c r="B99" s="46"/>
      <c r="C99" s="45"/>
    </row>
    <row r="100" ht="15.75" customHeight="1">
      <c r="A100" s="46"/>
      <c r="B100" s="46"/>
      <c r="C100" s="45"/>
    </row>
    <row r="101" ht="15.75" customHeight="1">
      <c r="A101" s="46"/>
      <c r="B101" s="46"/>
      <c r="C101" s="45"/>
    </row>
    <row r="102" ht="15.75" customHeight="1">
      <c r="A102" s="46"/>
      <c r="B102" s="46"/>
      <c r="C102" s="45"/>
    </row>
    <row r="103" ht="15.75" customHeight="1">
      <c r="A103" s="46"/>
      <c r="B103" s="46"/>
      <c r="C103" s="45"/>
    </row>
    <row r="104" ht="15.75" customHeight="1">
      <c r="A104" s="46"/>
      <c r="B104" s="46"/>
      <c r="C104" s="45"/>
    </row>
    <row r="105" ht="15.75" customHeight="1">
      <c r="A105" s="46"/>
      <c r="B105" s="46"/>
      <c r="C105" s="45"/>
    </row>
    <row r="106" ht="15.75" customHeight="1">
      <c r="A106" s="46"/>
      <c r="B106" s="46"/>
      <c r="C106" s="45"/>
    </row>
    <row r="107" ht="15.75" customHeight="1">
      <c r="A107" s="46"/>
      <c r="B107" s="46"/>
      <c r="C107" s="45"/>
    </row>
    <row r="108" ht="15.75" customHeight="1">
      <c r="A108" s="46"/>
      <c r="B108" s="46"/>
      <c r="C108" s="45"/>
    </row>
    <row r="109" ht="15.75" customHeight="1">
      <c r="A109" s="46"/>
      <c r="B109" s="46"/>
      <c r="C109" s="45"/>
    </row>
    <row r="110" ht="15.75" customHeight="1">
      <c r="A110" s="46"/>
      <c r="B110" s="46"/>
      <c r="C110" s="45"/>
    </row>
    <row r="111" ht="15.75" customHeight="1">
      <c r="A111" s="46"/>
      <c r="B111" s="46"/>
      <c r="C111" s="45"/>
    </row>
    <row r="112" ht="15.75" customHeight="1">
      <c r="A112" s="46"/>
      <c r="B112" s="46"/>
      <c r="C112" s="45"/>
    </row>
    <row r="113" ht="15.75" customHeight="1">
      <c r="A113" s="46"/>
      <c r="B113" s="46"/>
      <c r="C113" s="45"/>
    </row>
    <row r="114" ht="15.75" customHeight="1">
      <c r="A114" s="46"/>
      <c r="B114" s="46"/>
      <c r="C114" s="45"/>
    </row>
    <row r="115" ht="15.75" customHeight="1">
      <c r="A115" s="46"/>
      <c r="B115" s="46"/>
      <c r="C115" s="45"/>
    </row>
    <row r="116" ht="15.75" customHeight="1">
      <c r="A116" s="46"/>
      <c r="B116" s="46"/>
      <c r="C116" s="45"/>
    </row>
    <row r="117" ht="15.75" customHeight="1">
      <c r="A117" s="46"/>
      <c r="B117" s="46"/>
      <c r="C117" s="45"/>
    </row>
    <row r="118" ht="15.75" customHeight="1">
      <c r="A118" s="46"/>
      <c r="B118" s="46"/>
      <c r="C118" s="45"/>
    </row>
    <row r="119" ht="15.75" customHeight="1">
      <c r="A119" s="46"/>
      <c r="B119" s="46"/>
      <c r="C119" s="45"/>
    </row>
    <row r="120" ht="15.75" customHeight="1">
      <c r="A120" s="46"/>
      <c r="B120" s="46"/>
      <c r="C120" s="45"/>
    </row>
    <row r="121" ht="15.75" customHeight="1">
      <c r="A121" s="46"/>
      <c r="B121" s="46"/>
      <c r="C121" s="45"/>
    </row>
    <row r="122" ht="15.75" customHeight="1">
      <c r="A122" s="46"/>
      <c r="B122" s="46"/>
      <c r="C122" s="45"/>
    </row>
    <row r="123" ht="15.75" customHeight="1">
      <c r="A123" s="46"/>
      <c r="B123" s="46"/>
      <c r="C123" s="45"/>
    </row>
    <row r="124" ht="15.75" customHeight="1">
      <c r="A124" s="46"/>
      <c r="B124" s="46"/>
      <c r="C124" s="45"/>
    </row>
    <row r="125" ht="15.75" customHeight="1">
      <c r="A125" s="46"/>
      <c r="B125" s="46"/>
      <c r="C125" s="45"/>
    </row>
    <row r="126" ht="15.75" customHeight="1">
      <c r="A126" s="46"/>
      <c r="B126" s="46"/>
      <c r="C126" s="45"/>
    </row>
    <row r="127" ht="15.75" customHeight="1">
      <c r="A127" s="46"/>
      <c r="B127" s="46"/>
      <c r="C127" s="45"/>
    </row>
    <row r="128" ht="15.75" customHeight="1">
      <c r="A128" s="46"/>
      <c r="B128" s="46"/>
      <c r="C128" s="45"/>
    </row>
    <row r="129" ht="15.75" customHeight="1">
      <c r="A129" s="46"/>
      <c r="B129" s="46"/>
      <c r="C129" s="45"/>
    </row>
    <row r="130" ht="15.75" customHeight="1">
      <c r="A130" s="46"/>
      <c r="B130" s="46"/>
      <c r="C130" s="45"/>
    </row>
    <row r="131" ht="15.75" customHeight="1">
      <c r="A131" s="46"/>
      <c r="B131" s="46"/>
      <c r="C131" s="45"/>
    </row>
    <row r="132" ht="15.75" customHeight="1">
      <c r="A132" s="46"/>
      <c r="B132" s="46"/>
      <c r="C132" s="45"/>
    </row>
    <row r="133" ht="15.75" customHeight="1">
      <c r="A133" s="46"/>
      <c r="B133" s="46"/>
      <c r="C133" s="45"/>
    </row>
    <row r="134" ht="15.75" customHeight="1">
      <c r="A134" s="46"/>
      <c r="B134" s="46"/>
      <c r="C134" s="45"/>
    </row>
    <row r="135" ht="15.75" customHeight="1">
      <c r="A135" s="46"/>
      <c r="B135" s="46"/>
      <c r="C135" s="45"/>
    </row>
    <row r="136" ht="15.75" customHeight="1">
      <c r="A136" s="46"/>
      <c r="B136" s="46"/>
      <c r="C136" s="45"/>
    </row>
    <row r="137" ht="15.75" customHeight="1">
      <c r="A137" s="46"/>
      <c r="B137" s="46"/>
      <c r="C137" s="45"/>
    </row>
    <row r="138" ht="15.75" customHeight="1">
      <c r="A138" s="46"/>
      <c r="B138" s="46"/>
      <c r="C138" s="45"/>
    </row>
    <row r="139" ht="15.75" customHeight="1">
      <c r="A139" s="46"/>
      <c r="B139" s="46"/>
      <c r="C139" s="45"/>
    </row>
    <row r="140" ht="15.75" customHeight="1">
      <c r="A140" s="46"/>
      <c r="B140" s="46"/>
      <c r="C140" s="45"/>
    </row>
    <row r="141" ht="15.75" customHeight="1">
      <c r="A141" s="46"/>
      <c r="B141" s="46"/>
      <c r="C141" s="45"/>
    </row>
    <row r="142" ht="15.75" customHeight="1">
      <c r="A142" s="46"/>
      <c r="B142" s="46"/>
      <c r="C142" s="45"/>
    </row>
    <row r="143" ht="15.75" customHeight="1">
      <c r="A143" s="46"/>
      <c r="B143" s="46"/>
      <c r="C143" s="45"/>
    </row>
    <row r="144" ht="15.75" customHeight="1">
      <c r="A144" s="46"/>
      <c r="B144" s="46"/>
      <c r="C144" s="45"/>
    </row>
    <row r="145" ht="15.75" customHeight="1">
      <c r="A145" s="46"/>
      <c r="B145" s="46"/>
      <c r="C145" s="45"/>
    </row>
    <row r="146" ht="15.75" customHeight="1">
      <c r="A146" s="46"/>
      <c r="B146" s="46"/>
      <c r="C146" s="45"/>
    </row>
    <row r="147" ht="15.75" customHeight="1">
      <c r="A147" s="46"/>
      <c r="B147" s="46"/>
      <c r="C147" s="45"/>
    </row>
    <row r="148" ht="15.75" customHeight="1">
      <c r="A148" s="46"/>
      <c r="B148" s="46"/>
      <c r="C148" s="45"/>
    </row>
    <row r="149" ht="15.75" customHeight="1">
      <c r="A149" s="46"/>
      <c r="B149" s="46"/>
      <c r="C149" s="45"/>
    </row>
    <row r="150" ht="15.75" customHeight="1">
      <c r="A150" s="46"/>
      <c r="B150" s="46"/>
      <c r="C150" s="45"/>
    </row>
    <row r="151" ht="15.75" customHeight="1">
      <c r="A151" s="46"/>
      <c r="B151" s="46"/>
      <c r="C151" s="45"/>
    </row>
    <row r="152" ht="15.75" customHeight="1">
      <c r="A152" s="46"/>
      <c r="B152" s="46"/>
      <c r="C152" s="45"/>
    </row>
    <row r="153" ht="15.75" customHeight="1">
      <c r="A153" s="46"/>
      <c r="B153" s="46"/>
      <c r="C153" s="45"/>
    </row>
    <row r="154" ht="15.75" customHeight="1">
      <c r="A154" s="46"/>
      <c r="B154" s="46"/>
      <c r="C154" s="45"/>
    </row>
    <row r="155" ht="15.75" customHeight="1">
      <c r="A155" s="46"/>
      <c r="B155" s="46"/>
      <c r="C155" s="45"/>
    </row>
    <row r="156" ht="15.75" customHeight="1">
      <c r="A156" s="46"/>
      <c r="B156" s="46"/>
      <c r="C156" s="45"/>
    </row>
    <row r="157" ht="15.75" customHeight="1">
      <c r="A157" s="46"/>
      <c r="B157" s="46"/>
      <c r="C157" s="45"/>
    </row>
    <row r="158" ht="15.75" customHeight="1">
      <c r="A158" s="46"/>
      <c r="B158" s="46"/>
      <c r="C158" s="45"/>
    </row>
    <row r="159" ht="15.75" customHeight="1">
      <c r="A159" s="46"/>
      <c r="B159" s="46"/>
      <c r="C159" s="45"/>
    </row>
    <row r="160" ht="15.75" customHeight="1">
      <c r="A160" s="46"/>
      <c r="B160" s="46"/>
      <c r="C160" s="45"/>
    </row>
    <row r="161" ht="15.75" customHeight="1">
      <c r="A161" s="46"/>
      <c r="B161" s="46"/>
      <c r="C161" s="45"/>
    </row>
    <row r="162" ht="15.75" customHeight="1">
      <c r="A162" s="46"/>
      <c r="B162" s="46"/>
      <c r="C162" s="45"/>
    </row>
    <row r="163" ht="15.75" customHeight="1">
      <c r="A163" s="46"/>
      <c r="B163" s="46"/>
      <c r="C163" s="45"/>
    </row>
    <row r="164" ht="15.75" customHeight="1">
      <c r="A164" s="46"/>
      <c r="B164" s="46"/>
      <c r="C164" s="45"/>
    </row>
    <row r="165" ht="15.75" customHeight="1">
      <c r="A165" s="46"/>
      <c r="B165" s="46"/>
      <c r="C165" s="45"/>
    </row>
    <row r="166" ht="15.75" customHeight="1">
      <c r="A166" s="46"/>
      <c r="B166" s="46"/>
      <c r="C166" s="45"/>
    </row>
    <row r="167" ht="15.75" customHeight="1">
      <c r="A167" s="46"/>
      <c r="B167" s="46"/>
      <c r="C167" s="45"/>
    </row>
    <row r="168" ht="15.75" customHeight="1">
      <c r="A168" s="46"/>
      <c r="B168" s="46"/>
      <c r="C168" s="45"/>
    </row>
    <row r="169" ht="15.75" customHeight="1">
      <c r="A169" s="46"/>
      <c r="B169" s="46"/>
      <c r="C169" s="45"/>
    </row>
    <row r="170" ht="15.75" customHeight="1">
      <c r="A170" s="46"/>
      <c r="B170" s="46"/>
      <c r="C170" s="45"/>
    </row>
    <row r="171" ht="15.75" customHeight="1">
      <c r="A171" s="46"/>
      <c r="B171" s="46"/>
      <c r="C171" s="45"/>
    </row>
    <row r="172" ht="15.75" customHeight="1">
      <c r="A172" s="46"/>
      <c r="B172" s="46"/>
      <c r="C172" s="45"/>
    </row>
    <row r="173" ht="15.75" customHeight="1">
      <c r="A173" s="46"/>
      <c r="B173" s="46"/>
      <c r="C173" s="45"/>
    </row>
    <row r="174" ht="15.75" customHeight="1">
      <c r="A174" s="46"/>
      <c r="B174" s="46"/>
      <c r="C174" s="45"/>
    </row>
    <row r="175" ht="15.75" customHeight="1">
      <c r="A175" s="46"/>
      <c r="B175" s="46"/>
      <c r="C175" s="45"/>
    </row>
    <row r="176" ht="15.75" customHeight="1">
      <c r="A176" s="46"/>
      <c r="B176" s="46"/>
      <c r="C176" s="45"/>
    </row>
    <row r="177" ht="15.75" customHeight="1">
      <c r="A177" s="46"/>
      <c r="B177" s="46"/>
      <c r="C177" s="45"/>
    </row>
    <row r="178" ht="15.75" customHeight="1">
      <c r="A178" s="46"/>
      <c r="B178" s="46"/>
      <c r="C178" s="45"/>
    </row>
    <row r="179" ht="15.75" customHeight="1">
      <c r="A179" s="46"/>
      <c r="B179" s="46"/>
      <c r="C179" s="45"/>
    </row>
    <row r="180" ht="15.75" customHeight="1">
      <c r="A180" s="46"/>
      <c r="B180" s="46"/>
      <c r="C180" s="45"/>
    </row>
    <row r="181" ht="15.75" customHeight="1">
      <c r="A181" s="46"/>
      <c r="B181" s="46"/>
      <c r="C181" s="45"/>
    </row>
    <row r="182" ht="15.75" customHeight="1">
      <c r="A182" s="46"/>
      <c r="B182" s="46"/>
      <c r="C182" s="45"/>
    </row>
    <row r="183" ht="15.75" customHeight="1">
      <c r="A183" s="46"/>
      <c r="B183" s="46"/>
      <c r="C183" s="45"/>
    </row>
    <row r="184" ht="15.75" customHeight="1">
      <c r="A184" s="46"/>
      <c r="B184" s="46"/>
      <c r="C184" s="45"/>
    </row>
    <row r="185" ht="15.75" customHeight="1">
      <c r="A185" s="46"/>
      <c r="B185" s="46"/>
      <c r="C185" s="45"/>
    </row>
    <row r="186" ht="15.75" customHeight="1">
      <c r="A186" s="46"/>
      <c r="B186" s="46"/>
      <c r="C186" s="45"/>
    </row>
    <row r="187" ht="15.75" customHeight="1">
      <c r="A187" s="46"/>
      <c r="B187" s="46"/>
      <c r="C187" s="45"/>
    </row>
    <row r="188" ht="15.75" customHeight="1">
      <c r="A188" s="46"/>
      <c r="B188" s="46"/>
      <c r="C188" s="45"/>
    </row>
    <row r="189" ht="15.75" customHeight="1">
      <c r="A189" s="46"/>
      <c r="B189" s="46"/>
      <c r="C189" s="45"/>
    </row>
    <row r="190" ht="15.75" customHeight="1">
      <c r="A190" s="46"/>
      <c r="B190" s="46"/>
      <c r="C190" s="45"/>
    </row>
    <row r="191" ht="15.75" customHeight="1">
      <c r="A191" s="46"/>
      <c r="B191" s="46"/>
      <c r="C191" s="45"/>
    </row>
    <row r="192" ht="15.75" customHeight="1">
      <c r="A192" s="46"/>
      <c r="B192" s="46"/>
      <c r="C192" s="45"/>
    </row>
    <row r="193" ht="15.75" customHeight="1">
      <c r="A193" s="46"/>
      <c r="B193" s="46"/>
      <c r="C193" s="45"/>
    </row>
    <row r="194" ht="15.75" customHeight="1">
      <c r="A194" s="46"/>
      <c r="B194" s="46"/>
      <c r="C194" s="45"/>
    </row>
    <row r="195" ht="15.75" customHeight="1">
      <c r="A195" s="46"/>
      <c r="B195" s="46"/>
      <c r="C195" s="45"/>
    </row>
    <row r="196" ht="15.75" customHeight="1">
      <c r="A196" s="46"/>
      <c r="B196" s="46"/>
      <c r="C196" s="45"/>
    </row>
    <row r="197" ht="15.75" customHeight="1">
      <c r="A197" s="46"/>
      <c r="B197" s="46"/>
      <c r="C197" s="45"/>
    </row>
    <row r="198" ht="15.75" customHeight="1">
      <c r="A198" s="46"/>
      <c r="B198" s="46"/>
      <c r="C198" s="45"/>
    </row>
    <row r="199" ht="15.75" customHeight="1">
      <c r="A199" s="46"/>
      <c r="B199" s="46"/>
      <c r="C199" s="45"/>
    </row>
    <row r="200" ht="15.75" customHeight="1">
      <c r="A200" s="46"/>
      <c r="B200" s="46"/>
      <c r="C200" s="45"/>
    </row>
    <row r="201" ht="15.75" customHeight="1">
      <c r="A201" s="46"/>
      <c r="B201" s="46"/>
      <c r="C201" s="45"/>
    </row>
    <row r="202" ht="15.75" customHeight="1">
      <c r="A202" s="46"/>
      <c r="B202" s="46"/>
      <c r="C202" s="45"/>
    </row>
    <row r="203" ht="15.75" customHeight="1">
      <c r="A203" s="46"/>
      <c r="B203" s="46"/>
      <c r="C203" s="45"/>
    </row>
    <row r="204" ht="15.75" customHeight="1">
      <c r="A204" s="46"/>
      <c r="B204" s="46"/>
      <c r="C204" s="45"/>
    </row>
    <row r="205" ht="15.75" customHeight="1">
      <c r="A205" s="46"/>
      <c r="B205" s="46"/>
      <c r="C205" s="45"/>
    </row>
    <row r="206" ht="15.75" customHeight="1">
      <c r="A206" s="46"/>
      <c r="B206" s="46"/>
      <c r="C206" s="45"/>
    </row>
    <row r="207" ht="15.75" customHeight="1">
      <c r="A207" s="46"/>
      <c r="B207" s="46"/>
      <c r="C207" s="45"/>
    </row>
    <row r="208" ht="15.75" customHeight="1">
      <c r="A208" s="46"/>
      <c r="B208" s="46"/>
      <c r="C208" s="45"/>
    </row>
    <row r="209" ht="15.75" customHeight="1">
      <c r="A209" s="46"/>
      <c r="B209" s="46"/>
      <c r="C209" s="45"/>
    </row>
    <row r="210" ht="15.75" customHeight="1">
      <c r="A210" s="46"/>
      <c r="B210" s="46"/>
      <c r="C210" s="45"/>
    </row>
    <row r="211" ht="15.75" customHeight="1">
      <c r="A211" s="46"/>
      <c r="B211" s="46"/>
      <c r="C211" s="45"/>
    </row>
    <row r="212" ht="15.75" customHeight="1">
      <c r="A212" s="46"/>
      <c r="B212" s="46"/>
      <c r="C212" s="45"/>
    </row>
    <row r="213" ht="15.75" customHeight="1">
      <c r="A213" s="46"/>
      <c r="B213" s="46"/>
      <c r="C213" s="45"/>
    </row>
    <row r="214" ht="15.75" customHeight="1">
      <c r="A214" s="46"/>
      <c r="B214" s="46"/>
      <c r="C214" s="45"/>
    </row>
    <row r="215" ht="15.75" customHeight="1">
      <c r="A215" s="46"/>
      <c r="B215" s="46"/>
      <c r="C215" s="45"/>
    </row>
    <row r="216" ht="15.75" customHeight="1">
      <c r="A216" s="46"/>
      <c r="B216" s="46"/>
      <c r="C216" s="45"/>
    </row>
    <row r="217" ht="15.75" customHeight="1">
      <c r="A217" s="46"/>
      <c r="B217" s="46"/>
      <c r="C217" s="45"/>
    </row>
    <row r="218" ht="15.75" customHeight="1">
      <c r="A218" s="46"/>
      <c r="B218" s="46"/>
      <c r="C218" s="45"/>
    </row>
    <row r="219" ht="15.75" customHeight="1">
      <c r="A219" s="46"/>
      <c r="B219" s="46"/>
      <c r="C219" s="45"/>
    </row>
    <row r="220" ht="15.75" customHeight="1">
      <c r="A220" s="46"/>
      <c r="B220" s="46"/>
      <c r="C220" s="45"/>
    </row>
    <row r="221" ht="15.75" customHeight="1">
      <c r="A221" s="46"/>
      <c r="B221" s="46"/>
      <c r="C221" s="45"/>
    </row>
    <row r="222" ht="15.75" customHeight="1">
      <c r="A222" s="46"/>
      <c r="B222" s="46"/>
      <c r="C222" s="45"/>
    </row>
    <row r="223" ht="15.75" customHeight="1">
      <c r="A223" s="46"/>
      <c r="B223" s="46"/>
      <c r="C223" s="45"/>
    </row>
    <row r="224" ht="15.75" customHeight="1">
      <c r="A224" s="46"/>
      <c r="B224" s="46"/>
      <c r="C224" s="45"/>
    </row>
    <row r="225" ht="15.75" customHeight="1">
      <c r="A225" s="46"/>
      <c r="B225" s="46"/>
      <c r="C225" s="45"/>
    </row>
    <row r="226" ht="15.75" customHeight="1">
      <c r="A226" s="46"/>
      <c r="B226" s="46"/>
      <c r="C226" s="45"/>
    </row>
    <row r="227" ht="15.75" customHeight="1">
      <c r="A227" s="46"/>
      <c r="B227" s="46"/>
      <c r="C227" s="45"/>
    </row>
    <row r="228" ht="15.75" customHeight="1">
      <c r="A228" s="46"/>
      <c r="B228" s="46"/>
      <c r="C228" s="45"/>
    </row>
    <row r="229" ht="15.75" customHeight="1">
      <c r="A229" s="46"/>
      <c r="B229" s="46"/>
      <c r="C229" s="45"/>
    </row>
    <row r="230" ht="15.75" customHeight="1">
      <c r="A230" s="46"/>
      <c r="B230" s="46"/>
      <c r="C230" s="45"/>
    </row>
    <row r="231" ht="15.75" customHeight="1">
      <c r="A231" s="46"/>
      <c r="B231" s="46"/>
      <c r="C231" s="45"/>
    </row>
    <row r="232" ht="15.75" customHeight="1">
      <c r="A232" s="46"/>
      <c r="B232" s="46"/>
      <c r="C232" s="45"/>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9:B10"/>
    <mergeCell ref="B11:B12"/>
    <mergeCell ref="H12:H13"/>
    <mergeCell ref="D13:G14"/>
    <mergeCell ref="A1:A2"/>
    <mergeCell ref="B1:B2"/>
    <mergeCell ref="C1:C2"/>
    <mergeCell ref="D1:G1"/>
    <mergeCell ref="B3:B4"/>
    <mergeCell ref="B5:B6"/>
    <mergeCell ref="B7:B8"/>
  </mergeCells>
  <hyperlinks>
    <hyperlink r:id="rId1" ref="H31"/>
    <hyperlink r:id="rId2" ref="H32"/>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3.5"/>
    <col customWidth="1" min="2" max="4" width="33.13"/>
    <col customWidth="1" min="5" max="5" width="40.88"/>
    <col customWidth="1" min="6" max="6" width="38.75"/>
  </cols>
  <sheetData>
    <row r="1" ht="15.75" customHeight="1">
      <c r="A1" s="23" t="s">
        <v>22</v>
      </c>
      <c r="B1" s="24" t="s">
        <v>23</v>
      </c>
      <c r="C1" s="16"/>
      <c r="D1" s="16"/>
      <c r="E1" s="16"/>
      <c r="F1" s="16"/>
      <c r="G1" s="17"/>
      <c r="H1" s="69"/>
      <c r="I1" s="69"/>
      <c r="J1" s="69"/>
      <c r="K1" s="69"/>
      <c r="L1" s="69"/>
      <c r="M1" s="69"/>
      <c r="N1" s="69"/>
      <c r="O1" s="69"/>
    </row>
    <row r="2" ht="15.75" customHeight="1">
      <c r="A2" s="25" t="s">
        <v>24</v>
      </c>
      <c r="B2" s="26" t="s">
        <v>25</v>
      </c>
      <c r="C2" s="26" t="s">
        <v>26</v>
      </c>
      <c r="D2" s="26" t="s">
        <v>27</v>
      </c>
      <c r="E2" s="26" t="s">
        <v>28</v>
      </c>
      <c r="F2" s="26" t="s">
        <v>29</v>
      </c>
      <c r="G2" s="27" t="s">
        <v>30</v>
      </c>
      <c r="H2" s="28" t="s">
        <v>31</v>
      </c>
      <c r="I2" s="5"/>
      <c r="J2" s="5"/>
      <c r="K2" s="6"/>
      <c r="L2" s="29" t="s">
        <v>32</v>
      </c>
      <c r="N2" s="30"/>
      <c r="O2" s="31" t="s">
        <v>33</v>
      </c>
    </row>
    <row r="3" ht="15.75" customHeight="1">
      <c r="A3" s="32"/>
      <c r="B3" s="30"/>
      <c r="C3" s="30"/>
      <c r="D3" s="30"/>
      <c r="E3" s="30"/>
      <c r="F3" s="30"/>
      <c r="G3" s="30"/>
      <c r="H3" s="28" t="s">
        <v>34</v>
      </c>
      <c r="I3" s="5"/>
      <c r="J3" s="33" t="s">
        <v>35</v>
      </c>
      <c r="K3" s="17"/>
      <c r="L3" s="5"/>
      <c r="M3" s="5"/>
      <c r="N3" s="6"/>
      <c r="O3" s="30"/>
    </row>
    <row r="4" ht="15.75" customHeight="1">
      <c r="A4" s="34"/>
      <c r="B4" s="6"/>
      <c r="C4" s="6"/>
      <c r="D4" s="6"/>
      <c r="E4" s="6"/>
      <c r="F4" s="6"/>
      <c r="G4" s="6"/>
      <c r="H4" s="35" t="s">
        <v>36</v>
      </c>
      <c r="I4" s="35" t="s">
        <v>37</v>
      </c>
      <c r="J4" s="35" t="s">
        <v>36</v>
      </c>
      <c r="K4" s="35" t="s">
        <v>37</v>
      </c>
      <c r="L4" s="36" t="s">
        <v>38</v>
      </c>
      <c r="M4" s="37" t="s">
        <v>39</v>
      </c>
      <c r="N4" s="37" t="s">
        <v>40</v>
      </c>
      <c r="O4" s="6"/>
    </row>
    <row r="5" ht="15.75" customHeight="1">
      <c r="A5" s="38" t="str">
        <f t="shared" ref="A5:A12" si="1">IF(F5&lt;&gt;"",""&amp;TEXT($B$1,"##")&amp;"_"&amp;(ROW()-4)-COUNTBLANK(F5:F$6),"")</f>
        <v>Smoke test_1</v>
      </c>
      <c r="B5" s="39" t="str">
        <f>IFERROR(__xludf.DUMMYFUNCTION("GOOGLETRANSLATE(Smoke_test!B5,""vi"",""ja"")"),"Googleによる成功/失敗")</f>
        <v>Googleによる成功/失敗</v>
      </c>
      <c r="C5" s="39" t="str">
        <f>IFERROR(__xludf.DUMMYFUNCTION("GOOGLETRANSLATE(Smoke_test!C5,""vi"",""ja"")"),"Googleに従ってログインの成功/失敗を確認する")</f>
        <v>Googleに従ってログインの成功/失敗を確認する</v>
      </c>
      <c r="D5" s="39"/>
      <c r="E5" s="39" t="str">
        <f>IFERROR(__xludf.DUMMYFUNCTION("GOOGLETRANSLATE(Smoke_test!E5,""vi"",""ja"")"),"1. ログイン画面に移動します
2. Googleボタンをクリックします
3. 対象選択画面に進み、システムに登録されていないメールアドレスを選択
4. 結果を確認する 
5. もう一度 Google ボタンをクリックします
6. オブジェクト選択画面に移動し、システムに登録されている有効な電子メール アドレスを選択します
7. 結果を確認する
8.デジタルツール一覧画面のUIを確認する")</f>
        <v>1. ログイン画面に移動します
2. Googleボタンをクリックします
3. 対象選択画面に進み、システムに登録されていないメールアドレスを選択
4. 結果を確認する 
5. もう一度 Google ボタンをクリックします
6. オブジェクト選択画面に移動し、システムに登録されている有効な電子メール アドレスを選択します
7. 結果を確認する
8.デジタルツール一覧画面のUIを確認する</v>
      </c>
      <c r="F5" s="39" t="str">
        <f>IFERROR(__xludf.DUMMYFUNCTION("GOOGLETRANSLATE(Smoke_test!F5,""vi"",""ja"")"),"2. サードパーティのログイン画面を開き、アクセスする Web サイトの名前が表示されます。
4. エラー メッセージを表示します。 
ログインに失敗しました。 
もう一度ログインするか学校管理者にお問い合わせください
5. サードパーティのログイン画面を開き、アクセスする Web サイトの名前が表示されます。
7.デジタルツール一覧画面へのログインに成功しました
8. UI を歪めずに設計どおりに表示する")</f>
        <v>2. サードパーティのログイン画面を開き、アクセスする Web サイトの名前が表示されます。
4. エラー メッセージを表示します。 
ログインに失敗しました。 
もう一度ログインするか学校管理者にお問い合わせください
5. サードパーティのログイン画面を開き、アクセスする Web サイトの名前が表示されます。
7.デジタルツール一覧画面へのログインに成功しました
8. UI を歪めずに設計どおりに表示する</v>
      </c>
      <c r="G5" s="40" t="s">
        <v>45</v>
      </c>
      <c r="H5" s="41" t="s">
        <v>46</v>
      </c>
      <c r="I5" s="42"/>
      <c r="J5" s="41" t="s">
        <v>46</v>
      </c>
      <c r="K5" s="42"/>
      <c r="L5" s="42" t="s">
        <v>667</v>
      </c>
      <c r="M5" s="42" t="s">
        <v>667</v>
      </c>
      <c r="N5" s="42" t="s">
        <v>667</v>
      </c>
      <c r="O5" s="43"/>
    </row>
    <row r="6" ht="15.75" customHeight="1">
      <c r="A6" s="38" t="str">
        <f t="shared" si="1"/>
        <v>Smoke test_2</v>
      </c>
      <c r="B6" s="39" t="str">
        <f>IFERROR(__xludf.DUMMYFUNCTION("GOOGLETRANSLATE(Smoke_test!B6,""vi"",""ja"")"),"Microsoft による成功/失敗")</f>
        <v>Microsoft による成功/失敗</v>
      </c>
      <c r="C6" s="39" t="str">
        <f>IFERROR(__xludf.DUMMYFUNCTION("GOOGLETRANSLATE(Smoke_test!C6,""vi"",""ja"")"),"Microsoft に従ってログインの成功/失敗を確認する")</f>
        <v>Microsoft に従ってログインの成功/失敗を確認する</v>
      </c>
      <c r="D6" s="39"/>
      <c r="E6" s="39" t="str">
        <f>IFERROR(__xludf.DUMMYFUNCTION("GOOGLETRANSLATE(Smoke_test!E6,""vi"",""ja"")"),"1. ログイン画面に移動します
2. Microsoft ボタンをクリックします
3. 対象選択画面に進み、システムに登録されていないメールアドレスを選択
4. 結果を確認する 
5. Microsoft ボタンをもう一度クリックします
6. オブジェクト選択画面に移動し、システムに登録されている有効な電子メール アドレスを選択します
7. 結果を確認する
8.デジタルツール一覧画面のUIを確認する")</f>
        <v>1. ログイン画面に移動します
2. Microsoft ボタンをクリックします
3. 対象選択画面に進み、システムに登録されていないメールアドレスを選択
4. 結果を確認する 
5. Microsoft ボタンをもう一度クリックします
6. オブジェクト選択画面に移動し、システムに登録されている有効な電子メール アドレスを選択します
7. 結果を確認する
8.デジタルツール一覧画面のUIを確認する</v>
      </c>
      <c r="F6" s="39" t="str">
        <f>IFERROR(__xludf.DUMMYFUNCTION("GOOGLETRANSLATE(Smoke_test!F6,""vi"",""ja"")"),"2. サードパーティのログイン画面を開き、アクセスする Web サイトの名前が表示されます。
4. エラー メッセージを表示します。 
ログインに失敗しました。 
もう一度ログインするか学校管理者にお問い合わせください
5. サードパーティのログイン画面を開き、アクセスする Web サイトの名前が表示されます。
7.デジタルツール一覧画面へのログインに成功しました
8. UI を歪めずに設計どおりに表示する")</f>
        <v>2. サードパーティのログイン画面を開き、アクセスする Web サイトの名前が表示されます。
4. エラー メッセージを表示します。 
ログインに失敗しました。 
もう一度ログインするか学校管理者にお問い合わせください
5. サードパーティのログイン画面を開き、アクセスする Web サイトの名前が表示されます。
7.デジタルツール一覧画面へのログインに成功しました
8. UI を歪めずに設計どおりに表示する</v>
      </c>
      <c r="G6" s="40" t="s">
        <v>45</v>
      </c>
      <c r="H6" s="41" t="s">
        <v>46</v>
      </c>
      <c r="I6" s="42"/>
      <c r="J6" s="41" t="s">
        <v>46</v>
      </c>
      <c r="K6" s="42"/>
      <c r="L6" s="56" t="s">
        <v>667</v>
      </c>
      <c r="M6" s="56" t="s">
        <v>667</v>
      </c>
      <c r="N6" s="70" t="s">
        <v>668</v>
      </c>
      <c r="O6" s="43"/>
    </row>
    <row r="7" ht="15.75" customHeight="1">
      <c r="A7" s="38" t="str">
        <f t="shared" si="1"/>
        <v>Smoke test_3</v>
      </c>
      <c r="B7" s="39" t="str">
        <f>IFERROR(__xludf.DUMMYFUNCTION("GOOGLETRANSLATE(Smoke_test!B7,""vi"",""ja"")"),"ズームイン/アウト、デジタルツールを選択")</f>
        <v>ズームイン/アウト、デジタルツールを選択</v>
      </c>
      <c r="C7" s="39" t="str">
        <f>IFERROR(__xludf.DUMMYFUNCTION("GOOGLETRANSLATE(Smoke_test!C7,""vi"",""ja"")"),"デジタルツールの選択を確認してください")</f>
        <v>デジタルツールの選択を確認してください</v>
      </c>
      <c r="D7" s="39"/>
      <c r="E7" s="39" t="str">
        <f>IFERROR(__xludf.DUMMYFUNCTION("GOOGLETRANSLATE(Smoke_test!E7,""vi"",""ja"")"),"1.デジタルツール一覧画面へ 
2.デジタルツール一覧表示を確認する 
3. デジタルツールのズームボタンをクリック ⇒ 表示を確認
4. デジタルツールのサムネイルボタンをクリック ⇒ 表示を確認 
5. 5つのデジタルツールをクリック =&gt; 表示を確認  
6. せんたく中のイラストを見るボタンをクリック=&gt; 表示を確認
7.せんたく中のイラスト画面で×をクリックし、さらに16個のデジタルツールをクリックして選択 =&gt; 表示を確認
8. せんたく中のイラストを見るボタンをクリック=&gt; 表示を確認
9."&amp;" 位置番号 20 のデジタルツールの削除をクリック =&gt; 表示を確認します
10. 位置 4 のデジタルツールの削除をクリック =&gt; 表示を確認します
11.せんたく中のイラスト画面で×をクリックし、手順9、10で削除した2つのデジタルツールの表示を確認します
")</f>
        <v>1.デジタルツール一覧画面へ 
2.デジタルツール一覧表示を確認する 
3. デジタルツールのズームボタンをクリック ⇒ 表示を確認
4. デジタルツールのサムネイルボタンをクリック ⇒ 表示を確認 
5. 5つのデジタルツールをクリック =&gt; 表示を確認  
6. せんたく中のイラストを見るボタンをクリック=&gt; 表示を確認
7.せんたく中のイラスト画面で×をクリックし、さらに16個のデジタルツールをクリックして選択 =&gt; 表示を確認
8. せんたく中のイラストを見るボタンをクリック=&gt; 表示を確認
9. 位置番号 20 のデジタルツールの削除をクリック =&gt; 表示を確認します
10. 位置 4 のデジタルツールの削除をクリック =&gt; 表示を確認します
11.せんたく中のイラスト画面で×をクリックし、手順9、10で削除した2つのデジタルツールの表示を確認します
</v>
      </c>
      <c r="F7" s="39" t="str">
        <f>IFERROR(__xludf.DUMMYFUNCTION("GOOGLETRANSLATE(Smoke_test!F7,""vi"",""ja"")"),"2. デバイスに応じた表示数量:
Asus/Chromebook/iPad : 10x3
iPad/Asus/Chromebook ミニチュア: 6x3
3. デジタルツールで画像を拡大する 
4. デジタル画像をズームアウトする
5. 選択した 5 枚の写真には背景 #FFCC00 が表示されます 
6. モーダルせんたく中のイラストを開き、写真をクリックした順に1～5の5枚の写真を表示します 
7. 選択した最初の 15 枚の写真には #FFCC00 の背景が表示され、16 枚目の写真は選択できません"&amp;"。
8. せんたく中のイラストモーダルを開き、20 個のデジタルツール画像をすべて 20 位置に表示します 
9. 位置 20 のデジタルツールが削除されます 
10. 位置 4 のデジタル ツールが削除され、その後ろにあるデジタル ツールが蓄積されます
11. 2 つのデジタル ツールの選択が解除され、背景 #FFCC00 が失われます ")</f>
        <v>2. デバイスに応じた表示数量:
Asus/Chromebook/iPad : 10x3
iPad/Asus/Chromebook ミニチュア: 6x3
3. デジタルツールで画像を拡大する 
4. デジタル画像をズームアウトする
5. 選択した 5 枚の写真には背景 #FFCC00 が表示されます 
6. モーダルせんたく中のイラストを開き、写真をクリックした順に1～5の5枚の写真を表示します 
7. 選択した最初の 15 枚の写真には #FFCC00 の背景が表示され、16 枚目の写真は選択できません。
8. せんたく中のイラストモーダルを開き、20 個のデジタルツール画像をすべて 20 位置に表示します 
9. 位置 20 のデジタルツールが削除されます 
10. 位置 4 のデジタル ツールが削除され、その後ろにあるデジタル ツールが蓄積されます
11. 2 つのデジタル ツールの選択が解除され、背景 #FFCC00 が失われます </v>
      </c>
      <c r="G7" s="40" t="s">
        <v>45</v>
      </c>
      <c r="H7" s="41" t="s">
        <v>46</v>
      </c>
      <c r="I7" s="42"/>
      <c r="J7" s="41" t="s">
        <v>46</v>
      </c>
      <c r="K7" s="42"/>
      <c r="L7" s="42" t="s">
        <v>667</v>
      </c>
      <c r="M7" s="42" t="s">
        <v>667</v>
      </c>
      <c r="N7" s="42" t="s">
        <v>667</v>
      </c>
      <c r="O7" s="43"/>
    </row>
    <row r="8" ht="15.75" customHeight="1">
      <c r="A8" s="38" t="str">
        <f t="shared" si="1"/>
        <v>Smoke test_4</v>
      </c>
      <c r="B8" s="39" t="str">
        <f>IFERROR(__xludf.DUMMYFUNCTION("GOOGLETRANSLATE(Smoke_test!B8,""vi"",""ja"")"),"タグカテゴリ/教科書・学年を選択してください")</f>
        <v>タグカテゴリ/教科書・学年を選択してください</v>
      </c>
      <c r="C8" s="39" t="str">
        <f>IFERROR(__xludf.DUMMYFUNCTION("GOOGLETRANSLATE(Smoke_test!C8,""vi"",""ja"")"),"タグの選択を確認する")</f>
        <v>タグの選択を確認する</v>
      </c>
      <c r="D8" s="39"/>
      <c r="E8" s="39" t="str">
        <f>IFERROR(__xludf.DUMMYFUNCTION("GOOGLETRANSLATE(Smoke_test!E8,""vi"",""ja"")"),"1.デジタルツール一覧画面へ
2.「絵のしゅるい」ドロップダウンをクリックします。
3. タグレベル 1 をクリックして選択 =&gt; 表示を確認 
4. タグレベル 2 をクリックして選択 =&gt; 表示を確認 
5. タグレベル 3 をクリックして選択 =&gt; 表示を確認 
6. クリックしてタグレベル 4 を選択 =&gt; 表示を確認 
7. ドロップダウン「絵のしゅるい」をクリック=&gt; 表示を確認 
8. ドロップダウン「絵のしゅるい」をもう一度クリック=&gt; 表示を確認します 
9. タグ表示エリア外をクリック"&amp;" → ドロップダウンをクリック 学年・教科書 =&gt; 表示を確認 
10. 手順 3、4、5、6 を繰り返します =&gt; 表示を確認します 
11. リストタグ表示エリア外をクリック ⇒ 表示を確認 
12. ドロップダウン「学年・教科書」をクリック=&gt; 表示を確認 
")</f>
        <v>1.デジタルツール一覧画面へ
2.「絵のしゅるい」ドロップダウンをクリックします。
3. タグレベル 1 をクリックして選択 =&gt; 表示を確認 
4. タグレベル 2 をクリックして選択 =&gt; 表示を確認 
5. タグレベル 3 をクリックして選択 =&gt; 表示を確認 
6. クリックしてタグレベル 4 を選択 =&gt; 表示を確認 
7. ドロップダウン「絵のしゅるい」をクリック=&gt; 表示を確認 
8. ドロップダウン「絵のしゅるい」をもう一度クリック=&gt; 表示を確認します 
9. タグ表示エリア外をクリック → ドロップダウンをクリック 学年・教科書 =&gt; 表示を確認 
10. 手順 3、4、5、6 を繰り返します =&gt; 表示を確認します 
11. リストタグ表示エリア外をクリック ⇒ 表示を確認 
12. ドロップダウン「学年・教科書」をクリック=&gt; 表示を確認 
</v>
      </c>
      <c r="F8" s="39" t="str">
        <f>IFERROR(__xludf.DUMMYFUNCTION("GOOGLETRANSLATE(Smoke_test!F8,""vi"",""ja"")"),"2. カテゴリ別のタグのリストを開きます 
3. 選択したタグには背景 #FFCC00 が表示され、選択したレベル 1 タグに属するレベル 2 タグのリストが表示されます。 
4. 選択したタグには背景 #FFCC00 が表示され、選択したレベル 2 タグに属するレベル 3 タグのリストが表示されます
5. 選択したタグには背景 #FFCC00 が表示され、選択したレベル 3 タグに属するレベル 4 タグのリストが表示されます。
6. 選択したタグには背景 #FFCC00 が表示されます
7. カテゴリ別"&amp;"のタグのリストを閉じます 
8. カテゴリ別タグのリストを再度開き、レベル 1 タグが選択されていなかった元の状態に戻します。
9. [教科書・学年]に従ってタグリストを開きます 
10. [教科書・学年]のタグリストの場合3,4,5,6と同様の出力 
11. [教科書・学年]のタグリストを閉じる 
12. [教科書・学年]に従ってタグリストを再度開き、レベル1タグが選択されていない状態に戻します。")</f>
        <v>2. カテゴリ別のタグのリストを開きます 
3. 選択したタグには背景 #FFCC00 が表示され、選択したレベル 1 タグに属するレベル 2 タグのリストが表示されます。 
4. 選択したタグには背景 #FFCC00 が表示され、選択したレベル 2 タグに属するレベル 3 タグのリストが表示されます
5. 選択したタグには背景 #FFCC00 が表示され、選択したレベル 3 タグに属するレベル 4 タグのリストが表示されます。
6. 選択したタグには背景 #FFCC00 が表示されます
7. カテゴリ別のタグのリストを閉じます 
8. カテゴリ別タグのリストを再度開き、レベル 1 タグが選択されていなかった元の状態に戻します。
9. [教科書・学年]に従ってタグリストを開きます 
10. [教科書・学年]のタグリストの場合3,4,5,6と同様の出力 
11. [教科書・学年]のタグリストを閉じる 
12. [教科書・学年]に従ってタグリストを再度開き、レベル1タグが選択されていない状態に戻します。</v>
      </c>
      <c r="G8" s="40" t="s">
        <v>45</v>
      </c>
      <c r="H8" s="41" t="s">
        <v>46</v>
      </c>
      <c r="I8" s="42"/>
      <c r="J8" s="41" t="s">
        <v>46</v>
      </c>
      <c r="K8" s="42"/>
      <c r="L8" s="42" t="s">
        <v>667</v>
      </c>
      <c r="M8" s="42" t="s">
        <v>667</v>
      </c>
      <c r="N8" s="42" t="s">
        <v>667</v>
      </c>
      <c r="O8" s="43"/>
    </row>
    <row r="9" ht="15.75" customHeight="1">
      <c r="A9" s="38" t="str">
        <f t="shared" si="1"/>
        <v>Smoke test_5</v>
      </c>
      <c r="B9" s="39" t="str">
        <f>IFERROR(__xludf.DUMMYFUNCTION("GOOGLETRANSLATE(Smoke_test!B9,""vi"",""ja"")"),"キーワードで探す")</f>
        <v>キーワードで探す</v>
      </c>
      <c r="C9" s="39" t="str">
        <f>IFERROR(__xludf.DUMMYFUNCTION("GOOGLETRANSLATE(Smoke_test!C9,""vi"",""ja"")"),"キーワード検索を確認する")</f>
        <v>キーワード検索を確認する</v>
      </c>
      <c r="D9" s="39" t="str">
        <f>IFERROR(__xludf.DUMMYFUNCTION("GOOGLETRANSLATE(Smoke_test!D9,""vi"",""ja"")"),"1.「ゆきだま」というカテゴリーのデジタルツールを作成します。
2. ごむだまという[教科書・学年]のデジタルツールを作成します
3. カテゴリのデジタルツールのキーワードを雪玉として登録します
4. [教科書・学年]のデジタルツールの登録キーワードはゴム玉です")</f>
        <v>1.「ゆきだま」というカテゴリーのデジタルツールを作成します。
2. ごむだまという[教科書・学年]のデジタルツールを作成します
3. カテゴリのデジタルツールのキーワードを雪玉として登録します
4. [教科書・学年]のデジタルツールの登録キーワードはゴム玉です</v>
      </c>
      <c r="E9" s="39" t="str">
        <f>IFERROR(__xludf.DUMMYFUNCTION("GOOGLETRANSLATE(Smoke_test!E9,""vi"",""ja"")"),"1.デジタルツール一覧画面へ
2. キーワード「だま」を入力し、「さがす」ボタンをクリック =&gt; 検索結果を確認する
3. 手順2のキーワードをキーワード「ゆきだま」に置き換え、「さがす」ボタンをクリック=&gt; 検索結果を確認する
4. 手順4で検索したキーワードを削除し、さがすボタンをクリック ⇒ 検索結果を確認
5. キーワード「玉」を入力し、「さがす」ボタンをクリックします=&gt; 検索結果を確認します
6. 手順 3 のキーワードをキーワード「ゴム玉」に置き換え、「さがす」ボタンをクリックします=&gt; 検"&amp;"索結果を確認します")</f>
        <v>1.デジタルツール一覧画面へ
2. キーワード「だま」を入力し、「さがす」ボタンをクリック =&gt; 検索結果を確認する
3. 手順2のキーワードをキーワード「ゆきだま」に置き換え、「さがす」ボタンをクリック=&gt; 検索結果を確認する
4. 手順4で検索したキーワードを削除し、さがすボタンをクリック ⇒ 検索結果を確認
5. キーワード「玉」を入力し、「さがす」ボタンをクリックします=&gt; 検索結果を確認します
6. 手順 3 のキーワードをキーワード「ゴム玉」に置き換え、「さがす」ボタンをクリックします=&gt; 検索結果を確認します</v>
      </c>
      <c r="F9" s="39" t="str">
        <f>IFERROR(__xludf.DUMMYFUNCTION("GOOGLETRANSLATE(Smoke_test!F9,""vi"",""ja"")"),"2. カテゴリと[教科書・学年]の両方のデジタルツールを表示 
3. カテゴリデジタルツールのみを表示 
4.すべてのデジタルツールを元の状態で表示します 
5. カテゴリと[教科書・学年]の両方のデジタルツールを表示 
6. [教科書・学年]のデジタルツールのみを表示する")</f>
        <v>2. カテゴリと[教科書・学年]の両方のデジタルツールを表示 
3. カテゴリデジタルツールのみを表示 
4.すべてのデジタルツールを元の状態で表示します 
5. カテゴリと[教科書・学年]の両方のデジタルツールを表示 
6. [教科書・学年]のデジタルツールのみを表示する</v>
      </c>
      <c r="G9" s="40" t="s">
        <v>45</v>
      </c>
      <c r="H9" s="41" t="s">
        <v>46</v>
      </c>
      <c r="I9" s="42"/>
      <c r="J9" s="41" t="s">
        <v>46</v>
      </c>
      <c r="K9" s="42"/>
      <c r="L9" s="42" t="s">
        <v>667</v>
      </c>
      <c r="M9" s="42" t="s">
        <v>667</v>
      </c>
      <c r="N9" s="42" t="s">
        <v>667</v>
      </c>
      <c r="O9" s="43"/>
    </row>
    <row r="10" ht="15.75" customHeight="1">
      <c r="A10" s="38" t="str">
        <f t="shared" si="1"/>
        <v>Smoke test_6</v>
      </c>
      <c r="B10" s="39" t="str">
        <f>IFERROR(__xludf.DUMMYFUNCTION("GOOGLETRANSLATE(Smoke_test!B10,""vi"",""ja"")"),"カテゴリから探す")</f>
        <v>カテゴリから探す</v>
      </c>
      <c r="C10" s="39" t="str">
        <f>IFERROR(__xludf.DUMMYFUNCTION("GOOGLETRANSLATE(Smoke_test!C10,""vi"",""ja"")"),"カテゴリ別検索をチェック")</f>
        <v>カテゴリ別検索をチェック</v>
      </c>
      <c r="D10" s="39"/>
      <c r="E10" s="39" t="str">
        <f>IFERROR(__xludf.DUMMYFUNCTION("GOOGLETRANSLATE(Smoke_test!E10,""vi"",""ja"")"),"1.デジタルツール一覧画面へ
2.「絵のしゅるい」ドロップダウンをクリックします。
3. ボタンをクリック⇒表示を確認 
4. emileアイコンをクリックし、ドロップダウン「絵のしゅるい」をクリックします。
5.タグレベル1を選択⇒さがすボタンをクリックし、表示を確認 
6. emileアイコンをクリックし、ドロップダウン「絵のしゅるい」をクリックします。
7. タグレベル1、2を選択 =&gt; ボタンをクリック =&gt; 表示を確認 
8. ブレッドクラムのレベル 1 タグ名をクリック =&gt; 表示を確認します"&amp;"
9. emileアイコンをクリックし、ドロップダウン「絵のしゅるい」をクリックします。 
10. タグレベル1,2,3を選択=&gt; ボタンがす=&gt; 表示を確認 
11. ブレッドクラム内のレベル 2 タグ名をクリックします。 
12. emile アイコンをクリックし、ドロップダウン「絵のしゅるい」をクリックします。 
13. タグレベル1,2,3,4を選択 =&gt; ボタンをクリック さがす =&gt; 表示を確認 
14. ブレッドクラムのレベル 3 タグ名をクリック =&gt; 表示を確認")</f>
        <v>1.デジタルツール一覧画面へ
2.「絵のしゅるい」ドロップダウンをクリックします。
3. ボタンをクリック⇒表示を確認 
4. emileアイコンをクリックし、ドロップダウン「絵のしゅるい」をクリックします。
5.タグレベル1を選択⇒さがすボタンをクリックし、表示を確認 
6. emileアイコンをクリックし、ドロップダウン「絵のしゅるい」をクリックします。
7. タグレベル1、2を選択 =&gt; ボタンをクリック =&gt; 表示を確認 
8. ブレッドクラムのレベル 1 タグ名をクリック =&gt; 表示を確認します
9. emileアイコンをクリックし、ドロップダウン「絵のしゅるい」をクリックします。 
10. タグレベル1,2,3を選択=&gt; ボタンがす=&gt; 表示を確認 
11. ブレッドクラム内のレベル 2 タグ名をクリックします。 
12. emile アイコンをクリックし、ドロップダウン「絵のしゅるい」をクリックします。 
13. タグレベル1,2,3,4を選択 =&gt; ボタンをクリック さがす =&gt; 表示を確認 
14. ブレッドクラムのレベル 3 タグ名をクリック =&gt; 表示を確認</v>
      </c>
      <c r="F10" s="39" t="str">
        <f>IFERROR(__xludf.DUMMYFUNCTION("GOOGLETRANSLATE(Smoke_test!F10,""vi"",""ja"")"),"3. 検索結果画面を開くと、カテゴリ内のすべてのデジタルツールのデータが一覧表示されます 
5. タグレベル1に属するデジタルツールのデータ一覧の検索結果画面を開く
7. タグレベル2に属するデジタルツールのデータ一覧の検索結果画面を開く
8. 出力はステップ 1 と同じです
10. タグレベル3に属するデジタルツールのデータ一覧の検索結果画面を開く
11. 出力はステップ 6 と同じです
13. タグレベル4に属するデジタルツールのデータ一覧の検索結果画面を開く
14. 出力はステップ 9 と同じです")</f>
        <v>3. 検索結果画面を開くと、カテゴリ内のすべてのデジタルツールのデータが一覧表示されます 
5. タグレベル1に属するデジタルツールのデータ一覧の検索結果画面を開く
7. タグレベル2に属するデジタルツールのデータ一覧の検索結果画面を開く
8. 出力はステップ 1 と同じです
10. タグレベル3に属するデジタルツールのデータ一覧の検索結果画面を開く
11. 出力はステップ 6 と同じです
13. タグレベル4に属するデジタルツールのデータ一覧の検索結果画面を開く
14. 出力はステップ 9 と同じです</v>
      </c>
      <c r="G10" s="40" t="s">
        <v>45</v>
      </c>
      <c r="H10" s="41" t="s">
        <v>46</v>
      </c>
      <c r="I10" s="42"/>
      <c r="J10" s="41" t="s">
        <v>46</v>
      </c>
      <c r="K10" s="42"/>
      <c r="L10" s="42" t="s">
        <v>667</v>
      </c>
      <c r="M10" s="42" t="s">
        <v>667</v>
      </c>
      <c r="N10" s="42" t="s">
        <v>667</v>
      </c>
      <c r="O10" s="43"/>
    </row>
    <row r="11" ht="15.75" customHeight="1">
      <c r="A11" s="38" t="str">
        <f t="shared" si="1"/>
        <v>Smoke test_7</v>
      </c>
      <c r="B11" s="39" t="str">
        <f>IFERROR(__xludf.DUMMYFUNCTION("GOOGLETRANSLATE(Smoke_test!B11,""vi"",""ja"")"),"[教科書・学年]から探す")</f>
        <v>[教科書・学年]から探す</v>
      </c>
      <c r="C11" s="39" t="str">
        <f>IFERROR(__xludf.DUMMYFUNCTION("GOOGLETRANSLATE(Smoke_test!C11,""vi"",""ja"")"),"[教科書・学年]で検索してみる")</f>
        <v>[教科書・学年]で検索してみる</v>
      </c>
      <c r="D11" s="39"/>
      <c r="E11" s="39" t="str">
        <f>IFERROR(__xludf.DUMMYFUNCTION("GOOGLETRANSLATE(Smoke_test!E11,""vi"",""ja"")"),"1.デジタルツール一覧画面へ
2. 「学年・教科書」ドロップダウンをクリックします。
3. ボタンをクリック⇒表示を確認 
4. emile アイコンをクリックし、ドロップダウンの学年・教科書をクリックします。
5.タグレベル1を選択⇒さがすボタンをクリックし、表示を確認 
6. emile アイコンをクリックし、ドロップダウンの学年・教科書をクリックします。
7. タグレベル1、2を選択 =&gt; ボタンをクリック =&gt; 表示を確認 
8. emile アイコンをクリックし、ドロップダウンの学年・教科書をク"&amp;"リックします。 
9. タグレベル1,2,3,4を選択 =&gt; ボタンをクリック さがす =&gt; 表示を確認 
10. ブレッドクラムのレベル 3 タグ名をクリック =&gt; 表示を確認
11.パンくずリストのレベル1タグ名をクリック ⇒ 表示を確認
12. ズームインボタンをクリックし、デジタルツールをクリックしてズームアウト =&gt; 表示を確認します
13. 4 つのデジタル ツールをクリック =&gt; 表示を確認します
14. 手順13で選択したデジタルツールを再度クリックして選択 =&gt; 表示を確認
15. せん"&amp;"たく中のイラストを見るボタンをクリック=&gt; 表示を確認
16. 位置番号 1 のデジタルツールをクリックして削除 =&gt; 表示を確認します
17.せんたく中のイラスト画面で×をクリック")</f>
        <v>1.デジタルツール一覧画面へ
2. 「学年・教科書」ドロップダウンをクリックします。
3. ボタンをクリック⇒表示を確認 
4. emile アイコンをクリックし、ドロップダウンの学年・教科書をクリックします。
5.タグレベル1を選択⇒さがすボタンをクリックし、表示を確認 
6. emile アイコンをクリックし、ドロップダウンの学年・教科書をクリックします。
7. タグレベル1、2を選択 =&gt; ボタンをクリック =&gt; 表示を確認 
8. emile アイコンをクリックし、ドロップダウンの学年・教科書をクリックします。 
9. タグレベル1,2,3,4を選択 =&gt; ボタンをクリック さがす =&gt; 表示を確認 
10. ブレッドクラムのレベル 3 タグ名をクリック =&gt; 表示を確認
11.パンくずリストのレベル1タグ名をクリック ⇒ 表示を確認
12. ズームインボタンをクリックし、デジタルツールをクリックしてズームアウト =&gt; 表示を確認します
13. 4 つのデジタル ツールをクリック =&gt; 表示を確認します
14. 手順13で選択したデジタルツールを再度クリックして選択 =&gt; 表示を確認
15. せんたく中のイラストを見るボタンをクリック=&gt; 表示を確認
16. 位置番号 1 のデジタルツールをクリックして削除 =&gt; 表示を確認します
17.せんたく中のイラスト画面で×をクリック</v>
      </c>
      <c r="F11" s="39" t="str">
        <f>IFERROR(__xludf.DUMMYFUNCTION("GOOGLETRANSLATE(Smoke_test!F11,""vi"",""ja"")"),"3. 検索結果画面を開くと、カテゴリ内のすべてのデジタルツールのデータが一覧表示されます 
5. タグレベル1に属するデジタルツールのデータ一覧の検索結果画面を開く
7. タグレベル2に属するデジタルツールのデータ一覧の検索結果画面を開く
9. タグレベル4に属するデジタルツールのデータ一覧の検索結果画面を開く
10. タグレベル3に属するデジタルツールのデータ一覧の検索結果画面を開く
11. 出力はステップ 5 と同じです
12. デジタル ツールの画像を拡大 =&gt; 画像を縮小して元のサイズに戻します "&amp;"
13. 4 つのデジタル ツールが選択され、背景 #FFCC00 が表示されます 
14. 選択したデジタル ツールの背景 #FFCC00 が失われています 
15. モーダルせんたく中のイラストを開き、3つのデジタルツールを3つの位置1、2、3に表示します 
16. 位置 1 のデジタルツールが削除され、次の 2 つのデジタルツールが位置 1 と 2 に移動されます。
17. モーダルを閉じるせんたく中のイラスト")</f>
        <v>3. 検索結果画面を開くと、カテゴリ内のすべてのデジタルツールのデータが一覧表示されます 
5. タグレベル1に属するデジタルツールのデータ一覧の検索結果画面を開く
7. タグレベル2に属するデジタルツールのデータ一覧の検索結果画面を開く
9. タグレベル4に属するデジタルツールのデータ一覧の検索結果画面を開く
10. タグレベル3に属するデジタルツールのデータ一覧の検索結果画面を開く
11. 出力はステップ 5 と同じです
12. デジタル ツールの画像を拡大 =&gt; 画像を縮小して元のサイズに戻します 
13. 4 つのデジタル ツールが選択され、背景 #FFCC00 が表示されます 
14. 選択したデジタル ツールの背景 #FFCC00 が失われています 
15. モーダルせんたく中のイラストを開き、3つのデジタルツールを3つの位置1、2、3に表示します 
16. 位置 1 のデジタルツールが削除され、次の 2 つのデジタルツールが位置 1 と 2 に移動されます。
17. モーダルを閉じるせんたく中のイラスト</v>
      </c>
      <c r="G11" s="40" t="s">
        <v>45</v>
      </c>
      <c r="H11" s="41" t="s">
        <v>46</v>
      </c>
      <c r="I11" s="42"/>
      <c r="J11" s="41" t="s">
        <v>46</v>
      </c>
      <c r="K11" s="42"/>
      <c r="L11" s="56" t="s">
        <v>667</v>
      </c>
      <c r="M11" s="56" t="s">
        <v>667</v>
      </c>
      <c r="N11" s="56" t="s">
        <v>667</v>
      </c>
      <c r="O11" s="43"/>
    </row>
    <row r="12" ht="15.75" customHeight="1">
      <c r="A12" s="38" t="str">
        <f t="shared" si="1"/>
        <v>Smoke test_8</v>
      </c>
      <c r="B12" s="39" t="str">
        <f>IFERROR(__xludf.DUMMYFUNCTION("GOOGLETRANSLATE(Smoke_test!B12,""vi"",""ja"")"),"ダウンロード")</f>
        <v>ダウンロード</v>
      </c>
      <c r="C12" s="71" t="str">
        <f>IFERROR(__xludf.DUMMYFUNCTION("GOOGLETRANSLATE(Smoke_test!C12,""vi"",""ja"")"),"画像のダウンロードを確認する")</f>
        <v>画像のダウンロードを確認する</v>
      </c>
      <c r="D12" s="71"/>
      <c r="E12" s="71" t="str">
        <f>IFERROR(__xludf.DUMMYFUNCTION("GOOGLETRANSLATE(Smoke_test!E12,""vi"",""ja"")"),"1.デジタルツール一覧画面へ
2. デジタルツールがまだ選択されていません =&gt; チェックを入れるとダウンロードボタンが表示されます 
3. デジタルツールをクリックして選択 =&gt; ダウンロードボタンの表示を確認 
4. 選択したデジタル ツールのダウンロード ボタンをクリックします =&gt; ダウンロードが成功した後、デジタル ツールの表示を確認します
5. フォルダーを開き、ファイル名とファイル形式を確認します
6. システムを再度開き、20 個のデジタル ツール イメージをクリックし、ダウンロード ボタ"&amp;"ンをクリックします。 
7.ダウンロードが成功したら、選択したデジタルツールを確認します 
8. フォルダーを開き、ダウンロードした画像の数、ファイル名、ファイル形式を確認します。")</f>
        <v>1.デジタルツール一覧画面へ
2. デジタルツールがまだ選択されていません =&gt; チェックを入れるとダウンロードボタンが表示されます 
3. デジタルツールをクリックして選択 =&gt; ダウンロードボタンの表示を確認 
4. 選択したデジタル ツールのダウンロード ボタンをクリックします =&gt; ダウンロードが成功した後、デジタル ツールの表示を確認します
5. フォルダーを開き、ファイル名とファイル形式を確認します
6. システムを再度開き、20 個のデジタル ツール イメージをクリックし、ダウンロード ボタンをクリックします。 
7.ダウンロードが成功したら、選択したデジタルツールを確認します 
8. フォルダーを開き、ダウンロードした画像の数、ファイル名、ファイル形式を確認します。</v>
      </c>
      <c r="F12" s="71" t="str">
        <f>IFERROR(__xludf.DUMMYFUNCTION("GOOGLETRANSLATE(Smoke_test!F12,""vi"",""ja"")"),"2. ダウンロードボタンが無効になっています 
3. ダウンロード有効ボタン
4. 選択したデジタル ツールが正常にダウンロードされました。ダウンロード後、画面上のそのデジタル ツールの選択を解除します。  
5. ファイル名は画像名、ファイル形式はアップロード管理側の対応する形式です。
6. 20 個のデジタル ツール イメージをダウンロードする 
7. ダウンロード後、ダウンロードしたすべてのデジタルツールの選択を解除します。 
8. 管理者側で、20 枚すべての写真、写真に対応する名前、形式をダウン"&amp;"ロードします。")</f>
        <v>2. ダウンロードボタンが無効になっています 
3. ダウンロード有効ボタン
4. 選択したデジタル ツールが正常にダウンロードされました。ダウンロード後、画面上のそのデジタル ツールの選択を解除します。  
5. ファイル名は画像名、ファイル形式はアップロード管理側の対応する形式です。
6. 20 個のデジタル ツール イメージをダウンロードする 
7. ダウンロード後、ダウンロードしたすべてのデジタルツールの選択を解除します。 
8. 管理者側で、20 枚すべての写真、写真に対応する名前、形式をダウンロードします。</v>
      </c>
      <c r="G12" s="40" t="s">
        <v>45</v>
      </c>
      <c r="H12" s="41" t="s">
        <v>46</v>
      </c>
      <c r="I12" s="42"/>
      <c r="J12" s="41" t="s">
        <v>46</v>
      </c>
      <c r="K12" s="42"/>
      <c r="L12" s="42" t="s">
        <v>667</v>
      </c>
      <c r="M12" s="42" t="s">
        <v>667</v>
      </c>
      <c r="N12" s="56" t="s">
        <v>667</v>
      </c>
      <c r="O12" s="43"/>
    </row>
    <row r="13" ht="15.75" customHeight="1">
      <c r="E13" s="45"/>
      <c r="G13" s="46"/>
      <c r="H13" s="46"/>
      <c r="I13" s="46"/>
      <c r="J13" s="46"/>
      <c r="K13" s="46"/>
      <c r="L13" s="46"/>
      <c r="M13" s="46"/>
      <c r="N13" s="46"/>
      <c r="O13" s="46"/>
    </row>
    <row r="14" ht="15.75" customHeight="1">
      <c r="E14" s="45"/>
      <c r="G14" s="46"/>
      <c r="H14" s="46"/>
      <c r="I14" s="46"/>
      <c r="J14" s="46"/>
      <c r="K14" s="46"/>
      <c r="L14" s="46"/>
      <c r="M14" s="46"/>
      <c r="N14" s="46"/>
      <c r="O14" s="46"/>
    </row>
    <row r="15" ht="15.75" customHeight="1">
      <c r="E15" s="45"/>
      <c r="G15" s="46"/>
      <c r="H15" s="46"/>
      <c r="I15" s="46"/>
      <c r="J15" s="46"/>
      <c r="K15" s="46"/>
      <c r="L15" s="46"/>
      <c r="M15" s="46"/>
      <c r="N15" s="46"/>
      <c r="O15" s="46"/>
    </row>
    <row r="16" ht="15.75" customHeight="1">
      <c r="E16" s="45"/>
      <c r="G16" s="46"/>
      <c r="H16" s="46"/>
      <c r="I16" s="46"/>
      <c r="J16" s="46"/>
      <c r="K16" s="46"/>
      <c r="L16" s="46"/>
      <c r="M16" s="46"/>
      <c r="N16" s="46"/>
      <c r="O16" s="46"/>
    </row>
    <row r="17" ht="15.75" customHeight="1">
      <c r="E17" s="45"/>
      <c r="G17" s="46"/>
      <c r="H17" s="46"/>
      <c r="I17" s="46"/>
      <c r="J17" s="46"/>
      <c r="K17" s="46"/>
      <c r="L17" s="46"/>
      <c r="M17" s="46"/>
      <c r="N17" s="46"/>
      <c r="O17" s="46"/>
    </row>
    <row r="18" ht="15.75" customHeight="1">
      <c r="E18" s="45"/>
      <c r="G18" s="46"/>
      <c r="H18" s="46"/>
      <c r="I18" s="46"/>
      <c r="J18" s="46"/>
      <c r="K18" s="46"/>
      <c r="L18" s="46"/>
      <c r="M18" s="46"/>
      <c r="N18" s="46"/>
      <c r="O18" s="46"/>
    </row>
    <row r="19" ht="15.75" customHeight="1">
      <c r="E19" s="45"/>
      <c r="G19" s="46"/>
      <c r="H19" s="46"/>
      <c r="I19" s="46"/>
      <c r="J19" s="46"/>
      <c r="K19" s="46"/>
      <c r="L19" s="46"/>
      <c r="M19" s="46"/>
      <c r="N19" s="46"/>
      <c r="O19" s="46"/>
    </row>
    <row r="20" ht="15.75" customHeight="1">
      <c r="E20" s="45"/>
      <c r="G20" s="46"/>
      <c r="H20" s="46"/>
      <c r="I20" s="46"/>
      <c r="J20" s="46"/>
      <c r="K20" s="46"/>
      <c r="L20" s="46"/>
      <c r="M20" s="46"/>
      <c r="N20" s="46"/>
      <c r="O20" s="46"/>
    </row>
    <row r="21" ht="15.75" customHeight="1">
      <c r="E21" s="45"/>
      <c r="G21" s="46"/>
      <c r="H21" s="46"/>
      <c r="I21" s="46"/>
      <c r="J21" s="46"/>
      <c r="K21" s="46"/>
      <c r="L21" s="46"/>
      <c r="M21" s="46"/>
      <c r="N21" s="46"/>
      <c r="O21" s="46"/>
    </row>
    <row r="22" ht="15.75" customHeight="1">
      <c r="E22" s="45"/>
      <c r="G22" s="46"/>
      <c r="H22" s="46"/>
      <c r="I22" s="46"/>
      <c r="J22" s="46"/>
      <c r="K22" s="46"/>
      <c r="L22" s="46"/>
      <c r="M22" s="46"/>
      <c r="N22" s="46"/>
      <c r="O22" s="46"/>
    </row>
    <row r="23" ht="15.75" customHeight="1">
      <c r="E23" s="45"/>
      <c r="G23" s="46"/>
      <c r="H23" s="46"/>
      <c r="I23" s="46"/>
      <c r="J23" s="46"/>
      <c r="K23" s="46"/>
      <c r="L23" s="46"/>
      <c r="M23" s="46"/>
      <c r="N23" s="46"/>
      <c r="O23" s="46"/>
    </row>
    <row r="24" ht="15.75" customHeight="1">
      <c r="E24" s="45"/>
      <c r="G24" s="46"/>
      <c r="H24" s="46"/>
      <c r="I24" s="46"/>
      <c r="J24" s="46"/>
      <c r="K24" s="46"/>
      <c r="L24" s="46"/>
      <c r="M24" s="46"/>
      <c r="N24" s="46"/>
      <c r="O24" s="46"/>
    </row>
    <row r="25" ht="15.75" customHeight="1">
      <c r="E25" s="45"/>
      <c r="G25" s="46"/>
      <c r="H25" s="46"/>
      <c r="I25" s="46"/>
      <c r="J25" s="46"/>
      <c r="K25" s="46"/>
      <c r="L25" s="46"/>
      <c r="M25" s="46"/>
      <c r="N25" s="46"/>
      <c r="O25" s="46"/>
    </row>
    <row r="26" ht="15.75" customHeight="1">
      <c r="E26" s="45"/>
      <c r="G26" s="46"/>
      <c r="H26" s="46"/>
      <c r="I26" s="46"/>
      <c r="J26" s="46"/>
      <c r="K26" s="46"/>
      <c r="L26" s="46"/>
      <c r="M26" s="46"/>
      <c r="N26" s="46"/>
      <c r="O26" s="46"/>
    </row>
    <row r="27" ht="15.75" customHeight="1">
      <c r="E27" s="45"/>
      <c r="G27" s="46"/>
      <c r="H27" s="46"/>
      <c r="I27" s="46"/>
      <c r="J27" s="46"/>
      <c r="K27" s="46"/>
      <c r="L27" s="46"/>
      <c r="M27" s="46"/>
      <c r="N27" s="46"/>
      <c r="O27" s="46"/>
    </row>
    <row r="28" ht="15.75" customHeight="1">
      <c r="E28" s="45"/>
      <c r="G28" s="46"/>
      <c r="H28" s="46"/>
      <c r="I28" s="46"/>
      <c r="J28" s="46"/>
      <c r="K28" s="46"/>
      <c r="L28" s="46"/>
      <c r="M28" s="46"/>
      <c r="N28" s="46"/>
      <c r="O28" s="46"/>
    </row>
    <row r="29" ht="15.75" customHeight="1">
      <c r="E29" s="45"/>
      <c r="G29" s="46"/>
      <c r="H29" s="46"/>
      <c r="I29" s="46"/>
      <c r="J29" s="46"/>
      <c r="K29" s="46"/>
      <c r="L29" s="46"/>
      <c r="M29" s="46"/>
      <c r="N29" s="46"/>
      <c r="O29" s="46"/>
    </row>
    <row r="30" ht="15.75" customHeight="1">
      <c r="E30" s="45"/>
      <c r="G30" s="46"/>
      <c r="H30" s="46"/>
      <c r="I30" s="46"/>
      <c r="J30" s="46"/>
      <c r="K30" s="46"/>
      <c r="L30" s="46"/>
      <c r="M30" s="46"/>
      <c r="N30" s="46"/>
      <c r="O30" s="46"/>
    </row>
    <row r="31" ht="15.75" customHeight="1">
      <c r="E31" s="45"/>
      <c r="G31" s="46"/>
      <c r="H31" s="46"/>
      <c r="I31" s="46"/>
      <c r="J31" s="46"/>
      <c r="K31" s="46"/>
      <c r="L31" s="46"/>
      <c r="M31" s="46"/>
      <c r="N31" s="46"/>
      <c r="O31" s="46"/>
    </row>
    <row r="32" ht="15.75" customHeight="1">
      <c r="E32" s="45"/>
      <c r="G32" s="46"/>
      <c r="H32" s="46"/>
      <c r="I32" s="46"/>
      <c r="J32" s="46"/>
      <c r="K32" s="46"/>
      <c r="L32" s="46"/>
      <c r="M32" s="46"/>
      <c r="N32" s="46"/>
      <c r="O32" s="46"/>
    </row>
    <row r="33" ht="15.75" customHeight="1">
      <c r="E33" s="45"/>
      <c r="G33" s="46"/>
      <c r="H33" s="46"/>
      <c r="I33" s="46"/>
      <c r="J33" s="46"/>
      <c r="K33" s="46"/>
      <c r="L33" s="46"/>
      <c r="M33" s="46"/>
      <c r="N33" s="46"/>
      <c r="O33" s="46"/>
    </row>
    <row r="34" ht="15.75" customHeight="1">
      <c r="E34" s="45"/>
      <c r="G34" s="46"/>
      <c r="H34" s="46"/>
      <c r="I34" s="46"/>
      <c r="J34" s="46"/>
      <c r="K34" s="46"/>
      <c r="L34" s="46"/>
      <c r="M34" s="46"/>
      <c r="N34" s="46"/>
      <c r="O34" s="46"/>
    </row>
    <row r="35" ht="15.75" customHeight="1">
      <c r="E35" s="45"/>
      <c r="G35" s="46"/>
      <c r="H35" s="46"/>
      <c r="I35" s="46"/>
      <c r="J35" s="46"/>
      <c r="K35" s="46"/>
      <c r="L35" s="46"/>
      <c r="M35" s="46"/>
      <c r="N35" s="46"/>
      <c r="O35" s="46"/>
    </row>
    <row r="36" ht="15.75" customHeight="1">
      <c r="E36" s="45"/>
      <c r="G36" s="46"/>
      <c r="H36" s="46"/>
      <c r="I36" s="46"/>
      <c r="J36" s="46"/>
      <c r="K36" s="46"/>
      <c r="L36" s="46"/>
      <c r="M36" s="46"/>
      <c r="N36" s="46"/>
      <c r="O36" s="46"/>
    </row>
    <row r="37" ht="15.75" customHeight="1">
      <c r="E37" s="45"/>
      <c r="G37" s="46"/>
      <c r="H37" s="46"/>
      <c r="I37" s="46"/>
      <c r="J37" s="46"/>
      <c r="K37" s="46"/>
      <c r="L37" s="46"/>
      <c r="M37" s="46"/>
      <c r="N37" s="46"/>
      <c r="O37" s="46"/>
    </row>
    <row r="38" ht="15.75" customHeight="1">
      <c r="E38" s="45"/>
      <c r="G38" s="46"/>
      <c r="H38" s="46"/>
      <c r="I38" s="46"/>
      <c r="J38" s="46"/>
      <c r="K38" s="46"/>
      <c r="L38" s="46"/>
      <c r="M38" s="46"/>
      <c r="N38" s="46"/>
      <c r="O38" s="46"/>
    </row>
    <row r="39" ht="15.75" customHeight="1">
      <c r="E39" s="45"/>
      <c r="G39" s="46"/>
      <c r="H39" s="46"/>
      <c r="I39" s="46"/>
      <c r="J39" s="46"/>
      <c r="K39" s="46"/>
      <c r="L39" s="46"/>
      <c r="M39" s="46"/>
      <c r="N39" s="46"/>
      <c r="O39" s="46"/>
    </row>
    <row r="40" ht="15.75" customHeight="1">
      <c r="E40" s="45"/>
      <c r="G40" s="46"/>
      <c r="H40" s="46"/>
      <c r="I40" s="46"/>
      <c r="J40" s="46"/>
      <c r="K40" s="46"/>
      <c r="L40" s="46"/>
      <c r="M40" s="46"/>
      <c r="N40" s="46"/>
      <c r="O40" s="46"/>
    </row>
    <row r="41" ht="15.75" customHeight="1">
      <c r="E41" s="45"/>
      <c r="G41" s="46"/>
      <c r="H41" s="46"/>
      <c r="I41" s="46"/>
      <c r="J41" s="46"/>
      <c r="K41" s="46"/>
      <c r="L41" s="46"/>
      <c r="M41" s="46"/>
      <c r="N41" s="46"/>
      <c r="O41" s="46"/>
    </row>
    <row r="42" ht="15.75" customHeight="1">
      <c r="E42" s="45"/>
      <c r="G42" s="46"/>
      <c r="H42" s="46"/>
      <c r="I42" s="46"/>
      <c r="J42" s="46"/>
      <c r="K42" s="46"/>
      <c r="L42" s="46"/>
      <c r="M42" s="46"/>
      <c r="N42" s="46"/>
      <c r="O42" s="46"/>
    </row>
    <row r="43" ht="15.75" customHeight="1">
      <c r="E43" s="45"/>
      <c r="G43" s="46"/>
      <c r="H43" s="46"/>
      <c r="I43" s="46"/>
      <c r="J43" s="46"/>
      <c r="K43" s="46"/>
      <c r="L43" s="46"/>
      <c r="M43" s="46"/>
      <c r="N43" s="46"/>
      <c r="O43" s="46"/>
    </row>
    <row r="44" ht="15.75" customHeight="1">
      <c r="E44" s="45"/>
      <c r="G44" s="46"/>
      <c r="H44" s="46"/>
      <c r="I44" s="46"/>
      <c r="J44" s="46"/>
      <c r="K44" s="46"/>
      <c r="L44" s="46"/>
      <c r="M44" s="46"/>
      <c r="N44" s="46"/>
      <c r="O44" s="46"/>
    </row>
    <row r="45" ht="15.75" customHeight="1">
      <c r="E45" s="45"/>
      <c r="G45" s="46"/>
      <c r="H45" s="46"/>
      <c r="I45" s="46"/>
      <c r="J45" s="46"/>
      <c r="K45" s="46"/>
      <c r="L45" s="46"/>
      <c r="M45" s="46"/>
      <c r="N45" s="46"/>
      <c r="O45" s="46"/>
    </row>
    <row r="46" ht="15.75" customHeight="1">
      <c r="E46" s="45"/>
      <c r="G46" s="46"/>
      <c r="H46" s="46"/>
      <c r="I46" s="46"/>
      <c r="J46" s="46"/>
      <c r="K46" s="46"/>
      <c r="L46" s="46"/>
      <c r="M46" s="46"/>
      <c r="N46" s="46"/>
      <c r="O46" s="46"/>
    </row>
    <row r="47" ht="15.75" customHeight="1">
      <c r="E47" s="45"/>
      <c r="G47" s="46"/>
      <c r="H47" s="46"/>
      <c r="I47" s="46"/>
      <c r="J47" s="46"/>
      <c r="K47" s="46"/>
      <c r="L47" s="46"/>
      <c r="M47" s="46"/>
      <c r="N47" s="46"/>
      <c r="O47" s="46"/>
    </row>
    <row r="48" ht="15.75" customHeight="1">
      <c r="E48" s="45"/>
      <c r="G48" s="46"/>
      <c r="H48" s="46"/>
      <c r="I48" s="46"/>
      <c r="J48" s="46"/>
      <c r="K48" s="46"/>
      <c r="L48" s="46"/>
      <c r="M48" s="46"/>
      <c r="N48" s="46"/>
      <c r="O48" s="46"/>
    </row>
    <row r="49" ht="15.75" customHeight="1">
      <c r="E49" s="45"/>
      <c r="G49" s="46"/>
      <c r="H49" s="46"/>
      <c r="I49" s="46"/>
      <c r="J49" s="46"/>
      <c r="K49" s="46"/>
      <c r="L49" s="46"/>
      <c r="M49" s="46"/>
      <c r="N49" s="46"/>
      <c r="O49" s="46"/>
    </row>
    <row r="50" ht="15.75" customHeight="1">
      <c r="E50" s="45"/>
      <c r="G50" s="46"/>
      <c r="H50" s="46"/>
      <c r="I50" s="46"/>
      <c r="J50" s="46"/>
      <c r="K50" s="46"/>
      <c r="L50" s="46"/>
      <c r="M50" s="46"/>
      <c r="N50" s="46"/>
      <c r="O50" s="46"/>
    </row>
    <row r="51" ht="15.75" customHeight="1">
      <c r="E51" s="45"/>
      <c r="G51" s="46"/>
      <c r="H51" s="46"/>
      <c r="I51" s="46"/>
      <c r="J51" s="46"/>
      <c r="K51" s="46"/>
      <c r="L51" s="46"/>
      <c r="M51" s="46"/>
      <c r="N51" s="46"/>
      <c r="O51" s="46"/>
    </row>
    <row r="52" ht="15.75" customHeight="1">
      <c r="E52" s="45"/>
      <c r="G52" s="46"/>
      <c r="H52" s="46"/>
      <c r="I52" s="46"/>
      <c r="J52" s="46"/>
      <c r="K52" s="46"/>
      <c r="L52" s="46"/>
      <c r="M52" s="46"/>
      <c r="N52" s="46"/>
      <c r="O52" s="46"/>
    </row>
    <row r="53" ht="15.75" customHeight="1">
      <c r="E53" s="45"/>
      <c r="G53" s="46"/>
      <c r="H53" s="46"/>
      <c r="I53" s="46"/>
      <c r="J53" s="46"/>
      <c r="K53" s="46"/>
      <c r="L53" s="46"/>
      <c r="M53" s="46"/>
      <c r="N53" s="46"/>
      <c r="O53" s="46"/>
    </row>
    <row r="54" ht="15.75" customHeight="1">
      <c r="E54" s="45"/>
      <c r="G54" s="46"/>
      <c r="H54" s="46"/>
      <c r="I54" s="46"/>
      <c r="J54" s="46"/>
      <c r="K54" s="46"/>
      <c r="L54" s="46"/>
      <c r="M54" s="46"/>
      <c r="N54" s="46"/>
      <c r="O54" s="46"/>
    </row>
    <row r="55" ht="15.75" customHeight="1">
      <c r="E55" s="45"/>
      <c r="G55" s="46"/>
      <c r="H55" s="46"/>
      <c r="I55" s="46"/>
      <c r="J55" s="46"/>
      <c r="K55" s="46"/>
      <c r="L55" s="46"/>
      <c r="M55" s="46"/>
      <c r="N55" s="46"/>
      <c r="O55" s="46"/>
    </row>
    <row r="56" ht="15.75" customHeight="1">
      <c r="E56" s="45"/>
      <c r="G56" s="46"/>
      <c r="H56" s="46"/>
      <c r="I56" s="46"/>
      <c r="J56" s="46"/>
      <c r="K56" s="46"/>
      <c r="L56" s="46"/>
      <c r="M56" s="46"/>
      <c r="N56" s="46"/>
      <c r="O56" s="46"/>
    </row>
    <row r="57" ht="15.75" customHeight="1">
      <c r="E57" s="45"/>
      <c r="G57" s="46"/>
      <c r="H57" s="46"/>
      <c r="I57" s="46"/>
      <c r="J57" s="46"/>
      <c r="K57" s="46"/>
      <c r="L57" s="46"/>
      <c r="M57" s="46"/>
      <c r="N57" s="46"/>
      <c r="O57" s="46"/>
    </row>
    <row r="58" ht="15.75" customHeight="1">
      <c r="E58" s="45"/>
      <c r="G58" s="46"/>
      <c r="H58" s="46"/>
      <c r="I58" s="46"/>
      <c r="J58" s="46"/>
      <c r="K58" s="46"/>
      <c r="L58" s="46"/>
      <c r="M58" s="46"/>
      <c r="N58" s="46"/>
      <c r="O58" s="46"/>
    </row>
    <row r="59" ht="15.75" customHeight="1">
      <c r="E59" s="45"/>
      <c r="G59" s="46"/>
      <c r="H59" s="46"/>
      <c r="I59" s="46"/>
      <c r="J59" s="46"/>
      <c r="K59" s="46"/>
      <c r="L59" s="46"/>
      <c r="M59" s="46"/>
      <c r="N59" s="46"/>
      <c r="O59" s="46"/>
    </row>
    <row r="60" ht="15.75" customHeight="1">
      <c r="E60" s="45"/>
      <c r="G60" s="46"/>
      <c r="H60" s="46"/>
      <c r="I60" s="46"/>
      <c r="J60" s="46"/>
      <c r="K60" s="46"/>
      <c r="L60" s="46"/>
      <c r="M60" s="46"/>
      <c r="N60" s="46"/>
      <c r="O60" s="46"/>
    </row>
    <row r="61" ht="15.75" customHeight="1">
      <c r="E61" s="45"/>
      <c r="G61" s="46"/>
      <c r="H61" s="46"/>
      <c r="I61" s="46"/>
      <c r="J61" s="46"/>
      <c r="K61" s="46"/>
      <c r="L61" s="46"/>
      <c r="M61" s="46"/>
      <c r="N61" s="46"/>
      <c r="O61" s="46"/>
    </row>
    <row r="62" ht="15.75" customHeight="1">
      <c r="E62" s="45"/>
      <c r="G62" s="46"/>
      <c r="H62" s="46"/>
      <c r="I62" s="46"/>
      <c r="J62" s="46"/>
      <c r="K62" s="46"/>
      <c r="L62" s="46"/>
      <c r="M62" s="46"/>
      <c r="N62" s="46"/>
      <c r="O62" s="46"/>
    </row>
    <row r="63" ht="15.75" customHeight="1">
      <c r="E63" s="45"/>
      <c r="G63" s="46"/>
      <c r="H63" s="46"/>
      <c r="I63" s="46"/>
      <c r="J63" s="46"/>
      <c r="K63" s="46"/>
      <c r="L63" s="46"/>
      <c r="M63" s="46"/>
      <c r="N63" s="46"/>
      <c r="O63" s="46"/>
    </row>
    <row r="64" ht="15.75" customHeight="1">
      <c r="E64" s="45"/>
      <c r="G64" s="46"/>
      <c r="H64" s="46"/>
      <c r="I64" s="46"/>
      <c r="J64" s="46"/>
      <c r="K64" s="46"/>
      <c r="L64" s="46"/>
      <c r="M64" s="46"/>
      <c r="N64" s="46"/>
      <c r="O64" s="46"/>
    </row>
    <row r="65" ht="15.75" customHeight="1">
      <c r="E65" s="45"/>
      <c r="G65" s="46"/>
      <c r="H65" s="46"/>
      <c r="I65" s="46"/>
      <c r="J65" s="46"/>
      <c r="K65" s="46"/>
      <c r="L65" s="46"/>
      <c r="M65" s="46"/>
      <c r="N65" s="46"/>
      <c r="O65" s="46"/>
    </row>
    <row r="66" ht="15.75" customHeight="1">
      <c r="E66" s="45"/>
      <c r="G66" s="46"/>
      <c r="H66" s="46"/>
      <c r="I66" s="46"/>
      <c r="J66" s="46"/>
      <c r="K66" s="46"/>
      <c r="L66" s="46"/>
      <c r="M66" s="46"/>
      <c r="N66" s="46"/>
      <c r="O66" s="46"/>
    </row>
    <row r="67" ht="15.75" customHeight="1">
      <c r="E67" s="45"/>
      <c r="G67" s="46"/>
      <c r="H67" s="46"/>
      <c r="I67" s="46"/>
      <c r="J67" s="46"/>
      <c r="K67" s="46"/>
      <c r="L67" s="46"/>
      <c r="M67" s="46"/>
      <c r="N67" s="46"/>
      <c r="O67" s="46"/>
    </row>
    <row r="68" ht="15.75" customHeight="1">
      <c r="E68" s="45"/>
      <c r="G68" s="46"/>
      <c r="H68" s="46"/>
      <c r="I68" s="46"/>
      <c r="J68" s="46"/>
      <c r="K68" s="46"/>
      <c r="L68" s="46"/>
      <c r="M68" s="46"/>
      <c r="N68" s="46"/>
      <c r="O68" s="46"/>
    </row>
    <row r="69" ht="15.75" customHeight="1">
      <c r="E69" s="45"/>
      <c r="G69" s="46"/>
      <c r="H69" s="46"/>
      <c r="I69" s="46"/>
      <c r="J69" s="46"/>
      <c r="K69" s="46"/>
      <c r="L69" s="46"/>
      <c r="M69" s="46"/>
      <c r="N69" s="46"/>
      <c r="O69" s="46"/>
    </row>
    <row r="70" ht="15.75" customHeight="1">
      <c r="E70" s="45"/>
      <c r="G70" s="46"/>
      <c r="H70" s="46"/>
      <c r="I70" s="46"/>
      <c r="J70" s="46"/>
      <c r="K70" s="46"/>
      <c r="L70" s="46"/>
      <c r="M70" s="46"/>
      <c r="N70" s="46"/>
      <c r="O70" s="46"/>
    </row>
    <row r="71" ht="15.75" customHeight="1">
      <c r="E71" s="45"/>
      <c r="G71" s="46"/>
      <c r="H71" s="46"/>
      <c r="I71" s="46"/>
      <c r="J71" s="46"/>
      <c r="K71" s="46"/>
      <c r="L71" s="46"/>
      <c r="M71" s="46"/>
      <c r="N71" s="46"/>
      <c r="O71" s="46"/>
    </row>
    <row r="72" ht="15.75" customHeight="1">
      <c r="E72" s="45"/>
      <c r="G72" s="46"/>
      <c r="H72" s="46"/>
      <c r="I72" s="46"/>
      <c r="J72" s="46"/>
      <c r="K72" s="46"/>
      <c r="L72" s="46"/>
      <c r="M72" s="46"/>
      <c r="N72" s="46"/>
      <c r="O72" s="46"/>
    </row>
    <row r="73" ht="15.75" customHeight="1">
      <c r="E73" s="45"/>
      <c r="G73" s="46"/>
      <c r="H73" s="46"/>
      <c r="I73" s="46"/>
      <c r="J73" s="46"/>
      <c r="K73" s="46"/>
      <c r="L73" s="46"/>
      <c r="M73" s="46"/>
      <c r="N73" s="46"/>
      <c r="O73" s="46"/>
    </row>
    <row r="74" ht="15.75" customHeight="1">
      <c r="E74" s="45"/>
      <c r="G74" s="46"/>
      <c r="H74" s="46"/>
      <c r="I74" s="46"/>
      <c r="J74" s="46"/>
      <c r="K74" s="46"/>
      <c r="L74" s="46"/>
      <c r="M74" s="46"/>
      <c r="N74" s="46"/>
      <c r="O74" s="46"/>
    </row>
    <row r="75" ht="15.75" customHeight="1">
      <c r="E75" s="45"/>
      <c r="G75" s="46"/>
      <c r="H75" s="46"/>
      <c r="I75" s="46"/>
      <c r="J75" s="46"/>
      <c r="K75" s="46"/>
      <c r="L75" s="46"/>
      <c r="M75" s="46"/>
      <c r="N75" s="46"/>
      <c r="O75" s="46"/>
    </row>
    <row r="76" ht="15.75" customHeight="1">
      <c r="E76" s="45"/>
      <c r="G76" s="46"/>
      <c r="H76" s="46"/>
      <c r="I76" s="46"/>
      <c r="J76" s="46"/>
      <c r="K76" s="46"/>
      <c r="L76" s="46"/>
      <c r="M76" s="46"/>
      <c r="N76" s="46"/>
      <c r="O76" s="46"/>
    </row>
    <row r="77" ht="15.75" customHeight="1">
      <c r="E77" s="45"/>
      <c r="G77" s="46"/>
      <c r="H77" s="46"/>
      <c r="I77" s="46"/>
      <c r="J77" s="46"/>
      <c r="K77" s="46"/>
      <c r="L77" s="46"/>
      <c r="M77" s="46"/>
      <c r="N77" s="46"/>
      <c r="O77" s="46"/>
    </row>
    <row r="78" ht="15.75" customHeight="1">
      <c r="E78" s="45"/>
      <c r="G78" s="46"/>
      <c r="H78" s="46"/>
      <c r="I78" s="46"/>
      <c r="J78" s="46"/>
      <c r="K78" s="46"/>
      <c r="L78" s="46"/>
      <c r="M78" s="46"/>
      <c r="N78" s="46"/>
      <c r="O78" s="46"/>
    </row>
    <row r="79" ht="15.75" customHeight="1">
      <c r="E79" s="45"/>
      <c r="G79" s="46"/>
      <c r="H79" s="46"/>
      <c r="I79" s="46"/>
      <c r="J79" s="46"/>
      <c r="K79" s="46"/>
      <c r="L79" s="46"/>
      <c r="M79" s="46"/>
      <c r="N79" s="46"/>
      <c r="O79" s="46"/>
    </row>
    <row r="80" ht="15.75" customHeight="1">
      <c r="E80" s="45"/>
      <c r="G80" s="46"/>
      <c r="H80" s="46"/>
      <c r="I80" s="46"/>
      <c r="J80" s="46"/>
      <c r="K80" s="46"/>
      <c r="L80" s="46"/>
      <c r="M80" s="46"/>
      <c r="N80" s="46"/>
      <c r="O80" s="46"/>
    </row>
    <row r="81" ht="15.75" customHeight="1">
      <c r="E81" s="45"/>
      <c r="G81" s="46"/>
      <c r="H81" s="46"/>
      <c r="I81" s="46"/>
      <c r="J81" s="46"/>
      <c r="K81" s="46"/>
      <c r="L81" s="46"/>
      <c r="M81" s="46"/>
      <c r="N81" s="46"/>
      <c r="O81" s="46"/>
    </row>
    <row r="82" ht="15.75" customHeight="1">
      <c r="E82" s="45"/>
      <c r="G82" s="46"/>
      <c r="H82" s="46"/>
      <c r="I82" s="46"/>
      <c r="J82" s="46"/>
      <c r="K82" s="46"/>
      <c r="L82" s="46"/>
      <c r="M82" s="46"/>
      <c r="N82" s="46"/>
      <c r="O82" s="46"/>
    </row>
    <row r="83" ht="15.75" customHeight="1">
      <c r="E83" s="45"/>
      <c r="G83" s="46"/>
      <c r="H83" s="46"/>
      <c r="I83" s="46"/>
      <c r="J83" s="46"/>
      <c r="K83" s="46"/>
      <c r="L83" s="46"/>
      <c r="M83" s="46"/>
      <c r="N83" s="46"/>
      <c r="O83" s="46"/>
    </row>
    <row r="84" ht="15.75" customHeight="1">
      <c r="E84" s="45"/>
      <c r="G84" s="46"/>
      <c r="H84" s="46"/>
      <c r="I84" s="46"/>
      <c r="J84" s="46"/>
      <c r="K84" s="46"/>
      <c r="L84" s="46"/>
      <c r="M84" s="46"/>
      <c r="N84" s="46"/>
      <c r="O84" s="46"/>
    </row>
    <row r="85" ht="15.75" customHeight="1">
      <c r="E85" s="45"/>
      <c r="G85" s="46"/>
      <c r="H85" s="46"/>
      <c r="I85" s="46"/>
      <c r="J85" s="46"/>
      <c r="K85" s="46"/>
      <c r="L85" s="46"/>
      <c r="M85" s="46"/>
      <c r="N85" s="46"/>
      <c r="O85" s="46"/>
    </row>
    <row r="86" ht="15.75" customHeight="1">
      <c r="E86" s="45"/>
      <c r="G86" s="46"/>
      <c r="H86" s="46"/>
      <c r="I86" s="46"/>
      <c r="J86" s="46"/>
      <c r="K86" s="46"/>
      <c r="L86" s="46"/>
      <c r="M86" s="46"/>
      <c r="N86" s="46"/>
      <c r="O86" s="46"/>
    </row>
    <row r="87" ht="15.75" customHeight="1">
      <c r="E87" s="45"/>
      <c r="G87" s="46"/>
      <c r="H87" s="46"/>
      <c r="I87" s="46"/>
      <c r="J87" s="46"/>
      <c r="K87" s="46"/>
      <c r="L87" s="46"/>
      <c r="M87" s="46"/>
      <c r="N87" s="46"/>
      <c r="O87" s="46"/>
    </row>
    <row r="88" ht="15.75" customHeight="1">
      <c r="E88" s="45"/>
      <c r="G88" s="46"/>
      <c r="H88" s="46"/>
      <c r="I88" s="46"/>
      <c r="J88" s="46"/>
      <c r="K88" s="46"/>
      <c r="L88" s="46"/>
      <c r="M88" s="46"/>
      <c r="N88" s="46"/>
      <c r="O88" s="46"/>
    </row>
    <row r="89" ht="15.75" customHeight="1">
      <c r="E89" s="45"/>
      <c r="G89" s="46"/>
      <c r="H89" s="46"/>
      <c r="I89" s="46"/>
      <c r="J89" s="46"/>
      <c r="K89" s="46"/>
      <c r="L89" s="46"/>
      <c r="M89" s="46"/>
      <c r="N89" s="46"/>
      <c r="O89" s="46"/>
    </row>
    <row r="90" ht="15.75" customHeight="1">
      <c r="E90" s="45"/>
      <c r="G90" s="46"/>
      <c r="H90" s="46"/>
      <c r="I90" s="46"/>
      <c r="J90" s="46"/>
      <c r="K90" s="46"/>
      <c r="L90" s="46"/>
      <c r="M90" s="46"/>
      <c r="N90" s="46"/>
      <c r="O90" s="46"/>
    </row>
    <row r="91" ht="15.75" customHeight="1">
      <c r="E91" s="45"/>
      <c r="G91" s="46"/>
      <c r="H91" s="46"/>
      <c r="I91" s="46"/>
      <c r="J91" s="46"/>
      <c r="K91" s="46"/>
      <c r="L91" s="46"/>
      <c r="M91" s="46"/>
      <c r="N91" s="46"/>
      <c r="O91" s="46"/>
    </row>
    <row r="92" ht="15.75" customHeight="1">
      <c r="E92" s="45"/>
      <c r="G92" s="46"/>
      <c r="H92" s="46"/>
      <c r="I92" s="46"/>
      <c r="J92" s="46"/>
      <c r="K92" s="46"/>
      <c r="L92" s="46"/>
      <c r="M92" s="46"/>
      <c r="N92" s="46"/>
      <c r="O92" s="46"/>
    </row>
    <row r="93" ht="15.75" customHeight="1">
      <c r="E93" s="45"/>
      <c r="G93" s="46"/>
      <c r="H93" s="46"/>
      <c r="I93" s="46"/>
      <c r="J93" s="46"/>
      <c r="K93" s="46"/>
      <c r="L93" s="46"/>
      <c r="M93" s="46"/>
      <c r="N93" s="46"/>
      <c r="O93" s="46"/>
    </row>
    <row r="94" ht="15.75" customHeight="1">
      <c r="E94" s="45"/>
      <c r="G94" s="46"/>
      <c r="H94" s="46"/>
      <c r="I94" s="46"/>
      <c r="J94" s="46"/>
      <c r="K94" s="46"/>
      <c r="L94" s="46"/>
      <c r="M94" s="46"/>
      <c r="N94" s="46"/>
      <c r="O94" s="46"/>
    </row>
    <row r="95" ht="15.75" customHeight="1">
      <c r="E95" s="45"/>
      <c r="G95" s="46"/>
      <c r="H95" s="46"/>
      <c r="I95" s="46"/>
      <c r="J95" s="46"/>
      <c r="K95" s="46"/>
      <c r="L95" s="46"/>
      <c r="M95" s="46"/>
      <c r="N95" s="46"/>
      <c r="O95" s="46"/>
    </row>
    <row r="96" ht="15.75" customHeight="1">
      <c r="E96" s="45"/>
      <c r="G96" s="46"/>
      <c r="H96" s="46"/>
      <c r="I96" s="46"/>
      <c r="J96" s="46"/>
      <c r="K96" s="46"/>
      <c r="L96" s="46"/>
      <c r="M96" s="46"/>
      <c r="N96" s="46"/>
      <c r="O96" s="46"/>
    </row>
    <row r="97" ht="15.75" customHeight="1">
      <c r="E97" s="45"/>
      <c r="G97" s="46"/>
      <c r="H97" s="46"/>
      <c r="I97" s="46"/>
      <c r="J97" s="46"/>
      <c r="K97" s="46"/>
      <c r="L97" s="46"/>
      <c r="M97" s="46"/>
      <c r="N97" s="46"/>
      <c r="O97" s="46"/>
    </row>
    <row r="98" ht="15.75" customHeight="1">
      <c r="E98" s="45"/>
      <c r="G98" s="46"/>
      <c r="H98" s="46"/>
      <c r="I98" s="46"/>
      <c r="J98" s="46"/>
      <c r="K98" s="46"/>
      <c r="L98" s="46"/>
      <c r="M98" s="46"/>
      <c r="N98" s="46"/>
      <c r="O98" s="46"/>
    </row>
    <row r="99" ht="15.75" customHeight="1">
      <c r="E99" s="45"/>
      <c r="G99" s="46"/>
      <c r="H99" s="46"/>
      <c r="I99" s="46"/>
      <c r="J99" s="46"/>
      <c r="K99" s="46"/>
      <c r="L99" s="46"/>
      <c r="M99" s="46"/>
      <c r="N99" s="46"/>
      <c r="O99" s="46"/>
    </row>
    <row r="100" ht="15.75" customHeight="1">
      <c r="E100" s="45"/>
      <c r="G100" s="46"/>
      <c r="H100" s="46"/>
      <c r="I100" s="46"/>
      <c r="J100" s="46"/>
      <c r="K100" s="46"/>
      <c r="L100" s="46"/>
      <c r="M100" s="46"/>
      <c r="N100" s="46"/>
      <c r="O100" s="46"/>
    </row>
    <row r="101" ht="15.75" customHeight="1">
      <c r="E101" s="45"/>
      <c r="G101" s="46"/>
      <c r="H101" s="46"/>
      <c r="I101" s="46"/>
      <c r="J101" s="46"/>
      <c r="K101" s="46"/>
      <c r="L101" s="46"/>
      <c r="M101" s="46"/>
      <c r="N101" s="46"/>
      <c r="O101" s="46"/>
    </row>
    <row r="102" ht="15.75" customHeight="1">
      <c r="E102" s="45"/>
      <c r="G102" s="46"/>
      <c r="H102" s="46"/>
      <c r="I102" s="46"/>
      <c r="J102" s="46"/>
      <c r="K102" s="46"/>
      <c r="L102" s="46"/>
      <c r="M102" s="46"/>
      <c r="N102" s="46"/>
      <c r="O102" s="46"/>
    </row>
    <row r="103" ht="15.75" customHeight="1">
      <c r="E103" s="45"/>
      <c r="G103" s="46"/>
      <c r="H103" s="46"/>
      <c r="I103" s="46"/>
      <c r="J103" s="46"/>
      <c r="K103" s="46"/>
      <c r="L103" s="46"/>
      <c r="M103" s="46"/>
      <c r="N103" s="46"/>
      <c r="O103" s="46"/>
    </row>
    <row r="104" ht="15.75" customHeight="1">
      <c r="E104" s="45"/>
      <c r="G104" s="46"/>
      <c r="H104" s="46"/>
      <c r="I104" s="46"/>
      <c r="J104" s="46"/>
      <c r="K104" s="46"/>
      <c r="L104" s="46"/>
      <c r="M104" s="46"/>
      <c r="N104" s="46"/>
      <c r="O104" s="46"/>
    </row>
    <row r="105" ht="15.75" customHeight="1">
      <c r="E105" s="45"/>
      <c r="G105" s="46"/>
      <c r="H105" s="46"/>
      <c r="I105" s="46"/>
      <c r="J105" s="46"/>
      <c r="K105" s="46"/>
      <c r="L105" s="46"/>
      <c r="M105" s="46"/>
      <c r="N105" s="46"/>
      <c r="O105" s="46"/>
    </row>
    <row r="106" ht="15.75" customHeight="1">
      <c r="E106" s="45"/>
      <c r="G106" s="46"/>
      <c r="H106" s="46"/>
      <c r="I106" s="46"/>
      <c r="J106" s="46"/>
      <c r="K106" s="46"/>
      <c r="L106" s="46"/>
      <c r="M106" s="46"/>
      <c r="N106" s="46"/>
      <c r="O106" s="46"/>
    </row>
    <row r="107" ht="15.75" customHeight="1">
      <c r="E107" s="45"/>
      <c r="G107" s="46"/>
      <c r="H107" s="46"/>
      <c r="I107" s="46"/>
      <c r="J107" s="46"/>
      <c r="K107" s="46"/>
      <c r="L107" s="46"/>
      <c r="M107" s="46"/>
      <c r="N107" s="46"/>
      <c r="O107" s="46"/>
    </row>
    <row r="108" ht="15.75" customHeight="1">
      <c r="E108" s="45"/>
      <c r="G108" s="46"/>
      <c r="H108" s="46"/>
      <c r="I108" s="46"/>
      <c r="J108" s="46"/>
      <c r="K108" s="46"/>
      <c r="L108" s="46"/>
      <c r="M108" s="46"/>
      <c r="N108" s="46"/>
      <c r="O108" s="46"/>
    </row>
    <row r="109" ht="15.75" customHeight="1">
      <c r="E109" s="45"/>
      <c r="G109" s="46"/>
      <c r="H109" s="46"/>
      <c r="I109" s="46"/>
      <c r="J109" s="46"/>
      <c r="K109" s="46"/>
      <c r="L109" s="46"/>
      <c r="M109" s="46"/>
      <c r="N109" s="46"/>
      <c r="O109" s="46"/>
    </row>
    <row r="110" ht="15.75" customHeight="1">
      <c r="E110" s="45"/>
      <c r="G110" s="46"/>
      <c r="H110" s="46"/>
      <c r="I110" s="46"/>
      <c r="J110" s="46"/>
      <c r="K110" s="46"/>
      <c r="L110" s="46"/>
      <c r="M110" s="46"/>
      <c r="N110" s="46"/>
      <c r="O110" s="46"/>
    </row>
    <row r="111" ht="15.75" customHeight="1">
      <c r="E111" s="45"/>
      <c r="G111" s="46"/>
      <c r="H111" s="46"/>
      <c r="I111" s="46"/>
      <c r="J111" s="46"/>
      <c r="K111" s="46"/>
      <c r="L111" s="46"/>
      <c r="M111" s="46"/>
      <c r="N111" s="46"/>
      <c r="O111" s="46"/>
    </row>
    <row r="112" ht="15.75" customHeight="1">
      <c r="E112" s="45"/>
      <c r="G112" s="46"/>
      <c r="H112" s="46"/>
      <c r="I112" s="46"/>
      <c r="J112" s="46"/>
      <c r="K112" s="46"/>
      <c r="L112" s="46"/>
      <c r="M112" s="46"/>
      <c r="N112" s="46"/>
      <c r="O112" s="46"/>
    </row>
    <row r="113" ht="15.75" customHeight="1">
      <c r="E113" s="45"/>
      <c r="G113" s="46"/>
      <c r="H113" s="46"/>
      <c r="I113" s="46"/>
      <c r="J113" s="46"/>
      <c r="K113" s="46"/>
      <c r="L113" s="46"/>
      <c r="M113" s="46"/>
      <c r="N113" s="46"/>
      <c r="O113" s="46"/>
    </row>
    <row r="114" ht="15.75" customHeight="1">
      <c r="E114" s="45"/>
      <c r="G114" s="46"/>
      <c r="H114" s="46"/>
      <c r="I114" s="46"/>
      <c r="J114" s="46"/>
      <c r="K114" s="46"/>
      <c r="L114" s="46"/>
      <c r="M114" s="46"/>
      <c r="N114" s="46"/>
      <c r="O114" s="46"/>
    </row>
    <row r="115" ht="15.75" customHeight="1">
      <c r="E115" s="45"/>
      <c r="G115" s="46"/>
      <c r="H115" s="46"/>
      <c r="I115" s="46"/>
      <c r="J115" s="46"/>
      <c r="K115" s="46"/>
      <c r="L115" s="46"/>
      <c r="M115" s="46"/>
      <c r="N115" s="46"/>
      <c r="O115" s="46"/>
    </row>
    <row r="116" ht="15.75" customHeight="1">
      <c r="E116" s="45"/>
      <c r="G116" s="46"/>
      <c r="H116" s="46"/>
      <c r="I116" s="46"/>
      <c r="J116" s="46"/>
      <c r="K116" s="46"/>
      <c r="L116" s="46"/>
      <c r="M116" s="46"/>
      <c r="N116" s="46"/>
      <c r="O116" s="46"/>
    </row>
    <row r="117" ht="15.75" customHeight="1">
      <c r="E117" s="45"/>
      <c r="G117" s="46"/>
      <c r="H117" s="46"/>
      <c r="I117" s="46"/>
      <c r="J117" s="46"/>
      <c r="K117" s="46"/>
      <c r="L117" s="46"/>
      <c r="M117" s="46"/>
      <c r="N117" s="46"/>
      <c r="O117" s="46"/>
    </row>
    <row r="118" ht="15.75" customHeight="1">
      <c r="E118" s="45"/>
      <c r="G118" s="46"/>
      <c r="H118" s="46"/>
      <c r="I118" s="46"/>
      <c r="J118" s="46"/>
      <c r="K118" s="46"/>
      <c r="L118" s="46"/>
      <c r="M118" s="46"/>
      <c r="N118" s="46"/>
      <c r="O118" s="46"/>
    </row>
    <row r="119" ht="15.75" customHeight="1">
      <c r="E119" s="45"/>
      <c r="G119" s="46"/>
      <c r="H119" s="46"/>
      <c r="I119" s="46"/>
      <c r="J119" s="46"/>
      <c r="K119" s="46"/>
      <c r="L119" s="46"/>
      <c r="M119" s="46"/>
      <c r="N119" s="46"/>
      <c r="O119" s="46"/>
    </row>
    <row r="120" ht="15.75" customHeight="1">
      <c r="E120" s="45"/>
      <c r="G120" s="46"/>
      <c r="H120" s="46"/>
      <c r="I120" s="46"/>
      <c r="J120" s="46"/>
      <c r="K120" s="46"/>
      <c r="L120" s="46"/>
      <c r="M120" s="46"/>
      <c r="N120" s="46"/>
      <c r="O120" s="46"/>
    </row>
    <row r="121" ht="15.75" customHeight="1">
      <c r="E121" s="45"/>
      <c r="G121" s="46"/>
      <c r="H121" s="46"/>
      <c r="I121" s="46"/>
      <c r="J121" s="46"/>
      <c r="K121" s="46"/>
      <c r="L121" s="46"/>
      <c r="M121" s="46"/>
      <c r="N121" s="46"/>
      <c r="O121" s="46"/>
    </row>
    <row r="122" ht="15.75" customHeight="1">
      <c r="E122" s="45"/>
      <c r="G122" s="46"/>
      <c r="H122" s="46"/>
      <c r="I122" s="46"/>
      <c r="J122" s="46"/>
      <c r="K122" s="46"/>
      <c r="L122" s="46"/>
      <c r="M122" s="46"/>
      <c r="N122" s="46"/>
      <c r="O122" s="46"/>
    </row>
    <row r="123" ht="15.75" customHeight="1">
      <c r="E123" s="45"/>
      <c r="G123" s="46"/>
      <c r="H123" s="46"/>
      <c r="I123" s="46"/>
      <c r="J123" s="46"/>
      <c r="K123" s="46"/>
      <c r="L123" s="46"/>
      <c r="M123" s="46"/>
      <c r="N123" s="46"/>
      <c r="O123" s="46"/>
    </row>
    <row r="124" ht="15.75" customHeight="1">
      <c r="E124" s="45"/>
      <c r="G124" s="46"/>
      <c r="H124" s="46"/>
      <c r="I124" s="46"/>
      <c r="J124" s="46"/>
      <c r="K124" s="46"/>
      <c r="L124" s="46"/>
      <c r="M124" s="46"/>
      <c r="N124" s="46"/>
      <c r="O124" s="46"/>
    </row>
    <row r="125" ht="15.75" customHeight="1">
      <c r="E125" s="45"/>
      <c r="G125" s="46"/>
      <c r="H125" s="46"/>
      <c r="I125" s="46"/>
      <c r="J125" s="46"/>
      <c r="K125" s="46"/>
      <c r="L125" s="46"/>
      <c r="M125" s="46"/>
      <c r="N125" s="46"/>
      <c r="O125" s="46"/>
    </row>
    <row r="126" ht="15.75" customHeight="1">
      <c r="E126" s="45"/>
      <c r="G126" s="46"/>
      <c r="H126" s="46"/>
      <c r="I126" s="46"/>
      <c r="J126" s="46"/>
      <c r="K126" s="46"/>
      <c r="L126" s="46"/>
      <c r="M126" s="46"/>
      <c r="N126" s="46"/>
      <c r="O126" s="46"/>
    </row>
    <row r="127" ht="15.75" customHeight="1">
      <c r="E127" s="45"/>
      <c r="G127" s="46"/>
      <c r="H127" s="46"/>
      <c r="I127" s="46"/>
      <c r="J127" s="46"/>
      <c r="K127" s="46"/>
      <c r="L127" s="46"/>
      <c r="M127" s="46"/>
      <c r="N127" s="46"/>
      <c r="O127" s="46"/>
    </row>
    <row r="128" ht="15.75" customHeight="1">
      <c r="E128" s="45"/>
      <c r="G128" s="46"/>
      <c r="H128" s="46"/>
      <c r="I128" s="46"/>
      <c r="J128" s="46"/>
      <c r="K128" s="46"/>
      <c r="L128" s="46"/>
      <c r="M128" s="46"/>
      <c r="N128" s="46"/>
      <c r="O128" s="46"/>
    </row>
    <row r="129" ht="15.75" customHeight="1">
      <c r="E129" s="45"/>
      <c r="G129" s="46"/>
      <c r="H129" s="46"/>
      <c r="I129" s="46"/>
      <c r="J129" s="46"/>
      <c r="K129" s="46"/>
      <c r="L129" s="46"/>
      <c r="M129" s="46"/>
      <c r="N129" s="46"/>
      <c r="O129" s="46"/>
    </row>
    <row r="130" ht="15.75" customHeight="1">
      <c r="E130" s="45"/>
      <c r="G130" s="46"/>
      <c r="H130" s="46"/>
      <c r="I130" s="46"/>
      <c r="J130" s="46"/>
      <c r="K130" s="46"/>
      <c r="L130" s="46"/>
      <c r="M130" s="46"/>
      <c r="N130" s="46"/>
      <c r="O130" s="46"/>
    </row>
    <row r="131" ht="15.75" customHeight="1">
      <c r="E131" s="45"/>
      <c r="G131" s="46"/>
      <c r="H131" s="46"/>
      <c r="I131" s="46"/>
      <c r="J131" s="46"/>
      <c r="K131" s="46"/>
      <c r="L131" s="46"/>
      <c r="M131" s="46"/>
      <c r="N131" s="46"/>
      <c r="O131" s="46"/>
    </row>
    <row r="132" ht="15.75" customHeight="1">
      <c r="E132" s="45"/>
      <c r="G132" s="46"/>
      <c r="H132" s="46"/>
      <c r="I132" s="46"/>
      <c r="J132" s="46"/>
      <c r="K132" s="46"/>
      <c r="L132" s="46"/>
      <c r="M132" s="46"/>
      <c r="N132" s="46"/>
      <c r="O132" s="46"/>
    </row>
    <row r="133" ht="15.75" customHeight="1">
      <c r="E133" s="45"/>
      <c r="G133" s="46"/>
      <c r="H133" s="46"/>
      <c r="I133" s="46"/>
      <c r="J133" s="46"/>
      <c r="K133" s="46"/>
      <c r="L133" s="46"/>
      <c r="M133" s="46"/>
      <c r="N133" s="46"/>
      <c r="O133" s="46"/>
    </row>
    <row r="134" ht="15.75" customHeight="1">
      <c r="E134" s="45"/>
      <c r="G134" s="46"/>
      <c r="H134" s="46"/>
      <c r="I134" s="46"/>
      <c r="J134" s="46"/>
      <c r="K134" s="46"/>
      <c r="L134" s="46"/>
      <c r="M134" s="46"/>
      <c r="N134" s="46"/>
      <c r="O134" s="46"/>
    </row>
    <row r="135" ht="15.75" customHeight="1">
      <c r="E135" s="45"/>
      <c r="G135" s="46"/>
      <c r="H135" s="46"/>
      <c r="I135" s="46"/>
      <c r="J135" s="46"/>
      <c r="K135" s="46"/>
      <c r="L135" s="46"/>
      <c r="M135" s="46"/>
      <c r="N135" s="46"/>
      <c r="O135" s="46"/>
    </row>
    <row r="136" ht="15.75" customHeight="1">
      <c r="E136" s="45"/>
      <c r="G136" s="46"/>
      <c r="H136" s="46"/>
      <c r="I136" s="46"/>
      <c r="J136" s="46"/>
      <c r="K136" s="46"/>
      <c r="L136" s="46"/>
      <c r="M136" s="46"/>
      <c r="N136" s="46"/>
      <c r="O136" s="46"/>
    </row>
    <row r="137" ht="15.75" customHeight="1">
      <c r="E137" s="45"/>
      <c r="G137" s="46"/>
      <c r="H137" s="46"/>
      <c r="I137" s="46"/>
      <c r="J137" s="46"/>
      <c r="K137" s="46"/>
      <c r="L137" s="46"/>
      <c r="M137" s="46"/>
      <c r="N137" s="46"/>
      <c r="O137" s="46"/>
    </row>
    <row r="138" ht="15.75" customHeight="1">
      <c r="E138" s="45"/>
      <c r="G138" s="46"/>
      <c r="H138" s="46"/>
      <c r="I138" s="46"/>
      <c r="J138" s="46"/>
      <c r="K138" s="46"/>
      <c r="L138" s="46"/>
      <c r="M138" s="46"/>
      <c r="N138" s="46"/>
      <c r="O138" s="46"/>
    </row>
    <row r="139" ht="15.75" customHeight="1">
      <c r="E139" s="45"/>
      <c r="G139" s="46"/>
      <c r="H139" s="46"/>
      <c r="I139" s="46"/>
      <c r="J139" s="46"/>
      <c r="K139" s="46"/>
      <c r="L139" s="46"/>
      <c r="M139" s="46"/>
      <c r="N139" s="46"/>
      <c r="O139" s="46"/>
    </row>
    <row r="140" ht="15.75" customHeight="1">
      <c r="E140" s="45"/>
      <c r="G140" s="46"/>
      <c r="H140" s="46"/>
      <c r="I140" s="46"/>
      <c r="J140" s="46"/>
      <c r="K140" s="46"/>
      <c r="L140" s="46"/>
      <c r="M140" s="46"/>
      <c r="N140" s="46"/>
      <c r="O140" s="46"/>
    </row>
    <row r="141" ht="15.75" customHeight="1">
      <c r="E141" s="45"/>
      <c r="G141" s="46"/>
      <c r="H141" s="46"/>
      <c r="I141" s="46"/>
      <c r="J141" s="46"/>
      <c r="K141" s="46"/>
      <c r="L141" s="46"/>
      <c r="M141" s="46"/>
      <c r="N141" s="46"/>
      <c r="O141" s="46"/>
    </row>
    <row r="142" ht="15.75" customHeight="1">
      <c r="E142" s="45"/>
      <c r="G142" s="46"/>
      <c r="H142" s="46"/>
      <c r="I142" s="46"/>
      <c r="J142" s="46"/>
      <c r="K142" s="46"/>
      <c r="L142" s="46"/>
      <c r="M142" s="46"/>
      <c r="N142" s="46"/>
      <c r="O142" s="46"/>
    </row>
    <row r="143" ht="15.75" customHeight="1">
      <c r="E143" s="45"/>
      <c r="G143" s="46"/>
      <c r="H143" s="46"/>
      <c r="I143" s="46"/>
      <c r="J143" s="46"/>
      <c r="K143" s="46"/>
      <c r="L143" s="46"/>
      <c r="M143" s="46"/>
      <c r="N143" s="46"/>
      <c r="O143" s="46"/>
    </row>
    <row r="144" ht="15.75" customHeight="1">
      <c r="E144" s="45"/>
      <c r="G144" s="46"/>
      <c r="H144" s="46"/>
      <c r="I144" s="46"/>
      <c r="J144" s="46"/>
      <c r="K144" s="46"/>
      <c r="L144" s="46"/>
      <c r="M144" s="46"/>
      <c r="N144" s="46"/>
      <c r="O144" s="46"/>
    </row>
    <row r="145" ht="15.75" customHeight="1">
      <c r="E145" s="45"/>
      <c r="G145" s="46"/>
      <c r="H145" s="46"/>
      <c r="I145" s="46"/>
      <c r="J145" s="46"/>
      <c r="K145" s="46"/>
      <c r="L145" s="46"/>
      <c r="M145" s="46"/>
      <c r="N145" s="46"/>
      <c r="O145" s="46"/>
    </row>
    <row r="146" ht="15.75" customHeight="1">
      <c r="E146" s="45"/>
      <c r="G146" s="46"/>
      <c r="H146" s="46"/>
      <c r="I146" s="46"/>
      <c r="J146" s="46"/>
      <c r="K146" s="46"/>
      <c r="L146" s="46"/>
      <c r="M146" s="46"/>
      <c r="N146" s="46"/>
      <c r="O146" s="46"/>
    </row>
    <row r="147" ht="15.75" customHeight="1">
      <c r="E147" s="45"/>
      <c r="G147" s="46"/>
      <c r="H147" s="46"/>
      <c r="I147" s="46"/>
      <c r="J147" s="46"/>
      <c r="K147" s="46"/>
      <c r="L147" s="46"/>
      <c r="M147" s="46"/>
      <c r="N147" s="46"/>
      <c r="O147" s="46"/>
    </row>
    <row r="148" ht="15.75" customHeight="1">
      <c r="E148" s="45"/>
      <c r="G148" s="46"/>
      <c r="H148" s="46"/>
      <c r="I148" s="46"/>
      <c r="J148" s="46"/>
      <c r="K148" s="46"/>
      <c r="L148" s="46"/>
      <c r="M148" s="46"/>
      <c r="N148" s="46"/>
      <c r="O148" s="46"/>
    </row>
    <row r="149" ht="15.75" customHeight="1">
      <c r="E149" s="45"/>
      <c r="G149" s="46"/>
      <c r="H149" s="46"/>
      <c r="I149" s="46"/>
      <c r="J149" s="46"/>
      <c r="K149" s="46"/>
      <c r="L149" s="46"/>
      <c r="M149" s="46"/>
      <c r="N149" s="46"/>
      <c r="O149" s="46"/>
    </row>
    <row r="150" ht="15.75" customHeight="1">
      <c r="E150" s="45"/>
      <c r="G150" s="46"/>
      <c r="H150" s="46"/>
      <c r="I150" s="46"/>
      <c r="J150" s="46"/>
      <c r="K150" s="46"/>
      <c r="L150" s="46"/>
      <c r="M150" s="46"/>
      <c r="N150" s="46"/>
      <c r="O150" s="46"/>
    </row>
    <row r="151" ht="15.75" customHeight="1">
      <c r="E151" s="45"/>
      <c r="G151" s="46"/>
      <c r="H151" s="46"/>
      <c r="I151" s="46"/>
      <c r="J151" s="46"/>
      <c r="K151" s="46"/>
      <c r="L151" s="46"/>
      <c r="M151" s="46"/>
      <c r="N151" s="46"/>
      <c r="O151" s="46"/>
    </row>
    <row r="152" ht="15.75" customHeight="1">
      <c r="E152" s="45"/>
      <c r="G152" s="46"/>
      <c r="H152" s="46"/>
      <c r="I152" s="46"/>
      <c r="J152" s="46"/>
      <c r="K152" s="46"/>
      <c r="L152" s="46"/>
      <c r="M152" s="46"/>
      <c r="N152" s="46"/>
      <c r="O152" s="46"/>
    </row>
    <row r="153" ht="15.75" customHeight="1">
      <c r="E153" s="45"/>
      <c r="G153" s="46"/>
      <c r="H153" s="46"/>
      <c r="I153" s="46"/>
      <c r="J153" s="46"/>
      <c r="K153" s="46"/>
      <c r="L153" s="46"/>
      <c r="M153" s="46"/>
      <c r="N153" s="46"/>
      <c r="O153" s="46"/>
    </row>
    <row r="154" ht="15.75" customHeight="1">
      <c r="E154" s="45"/>
      <c r="G154" s="46"/>
      <c r="H154" s="46"/>
      <c r="I154" s="46"/>
      <c r="J154" s="46"/>
      <c r="K154" s="46"/>
      <c r="L154" s="46"/>
      <c r="M154" s="46"/>
      <c r="N154" s="46"/>
      <c r="O154" s="46"/>
    </row>
    <row r="155" ht="15.75" customHeight="1">
      <c r="E155" s="45"/>
      <c r="G155" s="46"/>
      <c r="H155" s="46"/>
      <c r="I155" s="46"/>
      <c r="J155" s="46"/>
      <c r="K155" s="46"/>
      <c r="L155" s="46"/>
      <c r="M155" s="46"/>
      <c r="N155" s="46"/>
      <c r="O155" s="46"/>
    </row>
    <row r="156" ht="15.75" customHeight="1">
      <c r="E156" s="45"/>
      <c r="G156" s="46"/>
      <c r="H156" s="46"/>
      <c r="I156" s="46"/>
      <c r="J156" s="46"/>
      <c r="K156" s="46"/>
      <c r="L156" s="46"/>
      <c r="M156" s="46"/>
      <c r="N156" s="46"/>
      <c r="O156" s="46"/>
    </row>
    <row r="157" ht="15.75" customHeight="1">
      <c r="E157" s="45"/>
      <c r="G157" s="46"/>
      <c r="H157" s="46"/>
      <c r="I157" s="46"/>
      <c r="J157" s="46"/>
      <c r="K157" s="46"/>
      <c r="L157" s="46"/>
      <c r="M157" s="46"/>
      <c r="N157" s="46"/>
      <c r="O157" s="46"/>
    </row>
    <row r="158" ht="15.75" customHeight="1">
      <c r="E158" s="45"/>
      <c r="G158" s="46"/>
      <c r="H158" s="46"/>
      <c r="I158" s="46"/>
      <c r="J158" s="46"/>
      <c r="K158" s="46"/>
      <c r="L158" s="46"/>
      <c r="M158" s="46"/>
      <c r="N158" s="46"/>
      <c r="O158" s="46"/>
    </row>
    <row r="159" ht="15.75" customHeight="1">
      <c r="E159" s="45"/>
      <c r="G159" s="46"/>
      <c r="H159" s="46"/>
      <c r="I159" s="46"/>
      <c r="J159" s="46"/>
      <c r="K159" s="46"/>
      <c r="L159" s="46"/>
      <c r="M159" s="46"/>
      <c r="N159" s="46"/>
      <c r="O159" s="46"/>
    </row>
    <row r="160" ht="15.75" customHeight="1">
      <c r="E160" s="45"/>
      <c r="G160" s="46"/>
      <c r="H160" s="46"/>
      <c r="I160" s="46"/>
      <c r="J160" s="46"/>
      <c r="K160" s="46"/>
      <c r="L160" s="46"/>
      <c r="M160" s="46"/>
      <c r="N160" s="46"/>
      <c r="O160" s="46"/>
    </row>
    <row r="161" ht="15.75" customHeight="1">
      <c r="E161" s="45"/>
      <c r="G161" s="46"/>
      <c r="H161" s="46"/>
      <c r="I161" s="46"/>
      <c r="J161" s="46"/>
      <c r="K161" s="46"/>
      <c r="L161" s="46"/>
      <c r="M161" s="46"/>
      <c r="N161" s="46"/>
      <c r="O161" s="46"/>
    </row>
    <row r="162" ht="15.75" customHeight="1">
      <c r="E162" s="45"/>
      <c r="G162" s="46"/>
      <c r="H162" s="46"/>
      <c r="I162" s="46"/>
      <c r="J162" s="46"/>
      <c r="K162" s="46"/>
      <c r="L162" s="46"/>
      <c r="M162" s="46"/>
      <c r="N162" s="46"/>
      <c r="O162" s="46"/>
    </row>
    <row r="163" ht="15.75" customHeight="1">
      <c r="E163" s="45"/>
      <c r="G163" s="46"/>
      <c r="H163" s="46"/>
      <c r="I163" s="46"/>
      <c r="J163" s="46"/>
      <c r="K163" s="46"/>
      <c r="L163" s="46"/>
      <c r="M163" s="46"/>
      <c r="N163" s="46"/>
      <c r="O163" s="46"/>
    </row>
    <row r="164" ht="15.75" customHeight="1">
      <c r="E164" s="45"/>
      <c r="G164" s="46"/>
      <c r="H164" s="46"/>
      <c r="I164" s="46"/>
      <c r="J164" s="46"/>
      <c r="K164" s="46"/>
      <c r="L164" s="46"/>
      <c r="M164" s="46"/>
      <c r="N164" s="46"/>
      <c r="O164" s="46"/>
    </row>
    <row r="165" ht="15.75" customHeight="1">
      <c r="E165" s="45"/>
      <c r="G165" s="46"/>
      <c r="H165" s="46"/>
      <c r="I165" s="46"/>
      <c r="J165" s="46"/>
      <c r="K165" s="46"/>
      <c r="L165" s="46"/>
      <c r="M165" s="46"/>
      <c r="N165" s="46"/>
      <c r="O165" s="46"/>
    </row>
    <row r="166" ht="15.75" customHeight="1">
      <c r="E166" s="45"/>
      <c r="G166" s="46"/>
      <c r="H166" s="46"/>
      <c r="I166" s="46"/>
      <c r="J166" s="46"/>
      <c r="K166" s="46"/>
      <c r="L166" s="46"/>
      <c r="M166" s="46"/>
      <c r="N166" s="46"/>
      <c r="O166" s="46"/>
    </row>
    <row r="167" ht="15.75" customHeight="1">
      <c r="E167" s="45"/>
      <c r="G167" s="46"/>
      <c r="H167" s="46"/>
      <c r="I167" s="46"/>
      <c r="J167" s="46"/>
      <c r="K167" s="46"/>
      <c r="L167" s="46"/>
      <c r="M167" s="46"/>
      <c r="N167" s="46"/>
      <c r="O167" s="46"/>
    </row>
    <row r="168" ht="15.75" customHeight="1">
      <c r="E168" s="45"/>
      <c r="G168" s="46"/>
      <c r="H168" s="46"/>
      <c r="I168" s="46"/>
      <c r="J168" s="46"/>
      <c r="K168" s="46"/>
      <c r="L168" s="46"/>
      <c r="M168" s="46"/>
      <c r="N168" s="46"/>
      <c r="O168" s="46"/>
    </row>
    <row r="169" ht="15.75" customHeight="1">
      <c r="E169" s="45"/>
      <c r="G169" s="46"/>
      <c r="H169" s="46"/>
      <c r="I169" s="46"/>
      <c r="J169" s="46"/>
      <c r="K169" s="46"/>
      <c r="L169" s="46"/>
      <c r="M169" s="46"/>
      <c r="N169" s="46"/>
      <c r="O169" s="46"/>
    </row>
    <row r="170" ht="15.75" customHeight="1">
      <c r="E170" s="45"/>
      <c r="G170" s="46"/>
      <c r="H170" s="46"/>
      <c r="I170" s="46"/>
      <c r="J170" s="46"/>
      <c r="K170" s="46"/>
      <c r="L170" s="46"/>
      <c r="M170" s="46"/>
      <c r="N170" s="46"/>
      <c r="O170" s="46"/>
    </row>
    <row r="171" ht="15.75" customHeight="1">
      <c r="E171" s="45"/>
      <c r="G171" s="46"/>
      <c r="H171" s="46"/>
      <c r="I171" s="46"/>
      <c r="J171" s="46"/>
      <c r="K171" s="46"/>
      <c r="L171" s="46"/>
      <c r="M171" s="46"/>
      <c r="N171" s="46"/>
      <c r="O171" s="46"/>
    </row>
    <row r="172" ht="15.75" customHeight="1">
      <c r="E172" s="45"/>
      <c r="G172" s="46"/>
      <c r="H172" s="46"/>
      <c r="I172" s="46"/>
      <c r="J172" s="46"/>
      <c r="K172" s="46"/>
      <c r="L172" s="46"/>
      <c r="M172" s="46"/>
      <c r="N172" s="46"/>
      <c r="O172" s="46"/>
    </row>
    <row r="173" ht="15.75" customHeight="1">
      <c r="E173" s="45"/>
      <c r="G173" s="46"/>
      <c r="H173" s="46"/>
      <c r="I173" s="46"/>
      <c r="J173" s="46"/>
      <c r="K173" s="46"/>
      <c r="L173" s="46"/>
      <c r="M173" s="46"/>
      <c r="N173" s="46"/>
      <c r="O173" s="46"/>
    </row>
    <row r="174" ht="15.75" customHeight="1">
      <c r="E174" s="45"/>
      <c r="G174" s="46"/>
      <c r="H174" s="46"/>
      <c r="I174" s="46"/>
      <c r="J174" s="46"/>
      <c r="K174" s="46"/>
      <c r="L174" s="46"/>
      <c r="M174" s="46"/>
      <c r="N174" s="46"/>
      <c r="O174" s="46"/>
    </row>
    <row r="175" ht="15.75" customHeight="1">
      <c r="E175" s="45"/>
      <c r="G175" s="46"/>
      <c r="H175" s="46"/>
      <c r="I175" s="46"/>
      <c r="J175" s="46"/>
      <c r="K175" s="46"/>
      <c r="L175" s="46"/>
      <c r="M175" s="46"/>
      <c r="N175" s="46"/>
      <c r="O175" s="46"/>
    </row>
    <row r="176" ht="15.75" customHeight="1">
      <c r="E176" s="45"/>
      <c r="G176" s="46"/>
      <c r="H176" s="46"/>
      <c r="I176" s="46"/>
      <c r="J176" s="46"/>
      <c r="K176" s="46"/>
      <c r="L176" s="46"/>
      <c r="M176" s="46"/>
      <c r="N176" s="46"/>
      <c r="O176" s="46"/>
    </row>
    <row r="177" ht="15.75" customHeight="1">
      <c r="E177" s="45"/>
      <c r="G177" s="46"/>
      <c r="H177" s="46"/>
      <c r="I177" s="46"/>
      <c r="J177" s="46"/>
      <c r="K177" s="46"/>
      <c r="L177" s="46"/>
      <c r="M177" s="46"/>
      <c r="N177" s="46"/>
      <c r="O177" s="46"/>
    </row>
    <row r="178" ht="15.75" customHeight="1">
      <c r="E178" s="45"/>
      <c r="G178" s="46"/>
      <c r="H178" s="46"/>
      <c r="I178" s="46"/>
      <c r="J178" s="46"/>
      <c r="K178" s="46"/>
      <c r="L178" s="46"/>
      <c r="M178" s="46"/>
      <c r="N178" s="46"/>
      <c r="O178" s="46"/>
    </row>
    <row r="179" ht="15.75" customHeight="1">
      <c r="E179" s="45"/>
      <c r="G179" s="46"/>
      <c r="H179" s="46"/>
      <c r="I179" s="46"/>
      <c r="J179" s="46"/>
      <c r="K179" s="46"/>
      <c r="L179" s="46"/>
      <c r="M179" s="46"/>
      <c r="N179" s="46"/>
      <c r="O179" s="46"/>
    </row>
    <row r="180" ht="15.75" customHeight="1">
      <c r="E180" s="45"/>
      <c r="G180" s="46"/>
      <c r="H180" s="46"/>
      <c r="I180" s="46"/>
      <c r="J180" s="46"/>
      <c r="K180" s="46"/>
      <c r="L180" s="46"/>
      <c r="M180" s="46"/>
      <c r="N180" s="46"/>
      <c r="O180" s="46"/>
    </row>
    <row r="181" ht="15.75" customHeight="1">
      <c r="E181" s="45"/>
      <c r="G181" s="46"/>
      <c r="H181" s="46"/>
      <c r="I181" s="46"/>
      <c r="J181" s="46"/>
      <c r="K181" s="46"/>
      <c r="L181" s="46"/>
      <c r="M181" s="46"/>
      <c r="N181" s="46"/>
      <c r="O181" s="46"/>
    </row>
    <row r="182" ht="15.75" customHeight="1">
      <c r="E182" s="45"/>
      <c r="G182" s="46"/>
      <c r="H182" s="46"/>
      <c r="I182" s="46"/>
      <c r="J182" s="46"/>
      <c r="K182" s="46"/>
      <c r="L182" s="46"/>
      <c r="M182" s="46"/>
      <c r="N182" s="46"/>
      <c r="O182" s="46"/>
    </row>
    <row r="183" ht="15.75" customHeight="1">
      <c r="E183" s="45"/>
      <c r="G183" s="46"/>
      <c r="H183" s="46"/>
      <c r="I183" s="46"/>
      <c r="J183" s="46"/>
      <c r="K183" s="46"/>
      <c r="L183" s="46"/>
      <c r="M183" s="46"/>
      <c r="N183" s="46"/>
      <c r="O183" s="46"/>
    </row>
    <row r="184" ht="15.75" customHeight="1">
      <c r="E184" s="45"/>
      <c r="G184" s="46"/>
      <c r="H184" s="46"/>
      <c r="I184" s="46"/>
      <c r="J184" s="46"/>
      <c r="K184" s="46"/>
      <c r="L184" s="46"/>
      <c r="M184" s="46"/>
      <c r="N184" s="46"/>
      <c r="O184" s="46"/>
    </row>
    <row r="185" ht="15.75" customHeight="1">
      <c r="E185" s="45"/>
      <c r="G185" s="46"/>
      <c r="H185" s="46"/>
      <c r="I185" s="46"/>
      <c r="J185" s="46"/>
      <c r="K185" s="46"/>
      <c r="L185" s="46"/>
      <c r="M185" s="46"/>
      <c r="N185" s="46"/>
      <c r="O185" s="46"/>
    </row>
    <row r="186" ht="15.75" customHeight="1">
      <c r="E186" s="45"/>
      <c r="G186" s="46"/>
      <c r="H186" s="46"/>
      <c r="I186" s="46"/>
      <c r="J186" s="46"/>
      <c r="K186" s="46"/>
      <c r="L186" s="46"/>
      <c r="M186" s="46"/>
      <c r="N186" s="46"/>
      <c r="O186" s="46"/>
    </row>
    <row r="187" ht="15.75" customHeight="1">
      <c r="E187" s="45"/>
      <c r="G187" s="46"/>
      <c r="H187" s="46"/>
      <c r="I187" s="46"/>
      <c r="J187" s="46"/>
      <c r="K187" s="46"/>
      <c r="L187" s="46"/>
      <c r="M187" s="46"/>
      <c r="N187" s="46"/>
      <c r="O187" s="46"/>
    </row>
    <row r="188" ht="15.75" customHeight="1">
      <c r="E188" s="45"/>
      <c r="G188" s="46"/>
      <c r="H188" s="46"/>
      <c r="I188" s="46"/>
      <c r="J188" s="46"/>
      <c r="K188" s="46"/>
      <c r="L188" s="46"/>
      <c r="M188" s="46"/>
      <c r="N188" s="46"/>
      <c r="O188" s="46"/>
    </row>
    <row r="189" ht="15.75" customHeight="1">
      <c r="E189" s="45"/>
      <c r="G189" s="46"/>
      <c r="H189" s="46"/>
      <c r="I189" s="46"/>
      <c r="J189" s="46"/>
      <c r="K189" s="46"/>
      <c r="L189" s="46"/>
      <c r="M189" s="46"/>
      <c r="N189" s="46"/>
      <c r="O189" s="46"/>
    </row>
    <row r="190" ht="15.75" customHeight="1">
      <c r="E190" s="45"/>
      <c r="G190" s="46"/>
      <c r="H190" s="46"/>
      <c r="I190" s="46"/>
      <c r="J190" s="46"/>
      <c r="K190" s="46"/>
      <c r="L190" s="46"/>
      <c r="M190" s="46"/>
      <c r="N190" s="46"/>
      <c r="O190" s="46"/>
    </row>
    <row r="191" ht="15.75" customHeight="1">
      <c r="E191" s="45"/>
      <c r="G191" s="46"/>
      <c r="H191" s="46"/>
      <c r="I191" s="46"/>
      <c r="J191" s="46"/>
      <c r="K191" s="46"/>
      <c r="L191" s="46"/>
      <c r="M191" s="46"/>
      <c r="N191" s="46"/>
      <c r="O191" s="46"/>
    </row>
    <row r="192" ht="15.75" customHeight="1">
      <c r="E192" s="45"/>
      <c r="G192" s="46"/>
      <c r="H192" s="46"/>
      <c r="I192" s="46"/>
      <c r="J192" s="46"/>
      <c r="K192" s="46"/>
      <c r="L192" s="46"/>
      <c r="M192" s="46"/>
      <c r="N192" s="46"/>
      <c r="O192" s="46"/>
    </row>
    <row r="193" ht="15.75" customHeight="1">
      <c r="E193" s="45"/>
      <c r="G193" s="46"/>
      <c r="H193" s="46"/>
      <c r="I193" s="46"/>
      <c r="J193" s="46"/>
      <c r="K193" s="46"/>
      <c r="L193" s="46"/>
      <c r="M193" s="46"/>
      <c r="N193" s="46"/>
      <c r="O193" s="46"/>
    </row>
    <row r="194" ht="15.75" customHeight="1">
      <c r="E194" s="45"/>
      <c r="G194" s="46"/>
      <c r="H194" s="46"/>
      <c r="I194" s="46"/>
      <c r="J194" s="46"/>
      <c r="K194" s="46"/>
      <c r="L194" s="46"/>
      <c r="M194" s="46"/>
      <c r="N194" s="46"/>
      <c r="O194" s="46"/>
    </row>
    <row r="195" ht="15.75" customHeight="1">
      <c r="E195" s="45"/>
      <c r="G195" s="46"/>
      <c r="H195" s="46"/>
      <c r="I195" s="46"/>
      <c r="J195" s="46"/>
      <c r="K195" s="46"/>
      <c r="L195" s="46"/>
      <c r="M195" s="46"/>
      <c r="N195" s="46"/>
      <c r="O195" s="46"/>
    </row>
    <row r="196" ht="15.75" customHeight="1">
      <c r="E196" s="45"/>
      <c r="G196" s="46"/>
      <c r="H196" s="46"/>
      <c r="I196" s="46"/>
      <c r="J196" s="46"/>
      <c r="K196" s="46"/>
      <c r="L196" s="46"/>
      <c r="M196" s="46"/>
      <c r="N196" s="46"/>
      <c r="O196" s="46"/>
    </row>
    <row r="197" ht="15.75" customHeight="1">
      <c r="E197" s="45"/>
      <c r="G197" s="46"/>
      <c r="H197" s="46"/>
      <c r="I197" s="46"/>
      <c r="J197" s="46"/>
      <c r="K197" s="46"/>
      <c r="L197" s="46"/>
      <c r="M197" s="46"/>
      <c r="N197" s="46"/>
      <c r="O197" s="46"/>
    </row>
    <row r="198" ht="15.75" customHeight="1">
      <c r="E198" s="45"/>
      <c r="G198" s="46"/>
      <c r="H198" s="46"/>
      <c r="I198" s="46"/>
      <c r="J198" s="46"/>
      <c r="K198" s="46"/>
      <c r="L198" s="46"/>
      <c r="M198" s="46"/>
      <c r="N198" s="46"/>
      <c r="O198" s="46"/>
    </row>
    <row r="199" ht="15.75" customHeight="1">
      <c r="E199" s="45"/>
      <c r="G199" s="46"/>
      <c r="H199" s="46"/>
      <c r="I199" s="46"/>
      <c r="J199" s="46"/>
      <c r="K199" s="46"/>
      <c r="L199" s="46"/>
      <c r="M199" s="46"/>
      <c r="N199" s="46"/>
      <c r="O199" s="46"/>
    </row>
    <row r="200" ht="15.75" customHeight="1">
      <c r="E200" s="45"/>
      <c r="G200" s="46"/>
      <c r="H200" s="46"/>
      <c r="I200" s="46"/>
      <c r="J200" s="46"/>
      <c r="K200" s="46"/>
      <c r="L200" s="46"/>
      <c r="M200" s="46"/>
      <c r="N200" s="46"/>
      <c r="O200" s="46"/>
    </row>
    <row r="201" ht="15.75" customHeight="1">
      <c r="E201" s="45"/>
      <c r="G201" s="46"/>
      <c r="H201" s="46"/>
      <c r="I201" s="46"/>
      <c r="J201" s="46"/>
      <c r="K201" s="46"/>
      <c r="L201" s="46"/>
      <c r="M201" s="46"/>
      <c r="N201" s="46"/>
      <c r="O201" s="46"/>
    </row>
    <row r="202" ht="15.75" customHeight="1">
      <c r="E202" s="45"/>
      <c r="G202" s="46"/>
      <c r="H202" s="46"/>
      <c r="I202" s="46"/>
      <c r="J202" s="46"/>
      <c r="K202" s="46"/>
      <c r="L202" s="46"/>
      <c r="M202" s="46"/>
      <c r="N202" s="46"/>
      <c r="O202" s="46"/>
    </row>
    <row r="203" ht="15.75" customHeight="1">
      <c r="E203" s="45"/>
      <c r="G203" s="46"/>
      <c r="H203" s="46"/>
      <c r="I203" s="46"/>
      <c r="J203" s="46"/>
      <c r="K203" s="46"/>
      <c r="L203" s="46"/>
      <c r="M203" s="46"/>
      <c r="N203" s="46"/>
      <c r="O203" s="46"/>
    </row>
    <row r="204" ht="15.75" customHeight="1">
      <c r="E204" s="45"/>
      <c r="G204" s="46"/>
      <c r="H204" s="46"/>
      <c r="I204" s="46"/>
      <c r="J204" s="46"/>
      <c r="K204" s="46"/>
      <c r="L204" s="46"/>
      <c r="M204" s="46"/>
      <c r="N204" s="46"/>
      <c r="O204" s="46"/>
    </row>
    <row r="205" ht="15.75" customHeight="1">
      <c r="E205" s="45"/>
      <c r="G205" s="46"/>
      <c r="H205" s="46"/>
      <c r="I205" s="46"/>
      <c r="J205" s="46"/>
      <c r="K205" s="46"/>
      <c r="L205" s="46"/>
      <c r="M205" s="46"/>
      <c r="N205" s="46"/>
      <c r="O205" s="46"/>
    </row>
    <row r="206" ht="15.75" customHeight="1">
      <c r="E206" s="45"/>
      <c r="G206" s="46"/>
      <c r="H206" s="46"/>
      <c r="I206" s="46"/>
      <c r="J206" s="46"/>
      <c r="K206" s="46"/>
      <c r="L206" s="46"/>
      <c r="M206" s="46"/>
      <c r="N206" s="46"/>
      <c r="O206" s="46"/>
    </row>
    <row r="207" ht="15.75" customHeight="1">
      <c r="E207" s="45"/>
      <c r="G207" s="46"/>
      <c r="H207" s="46"/>
      <c r="I207" s="46"/>
      <c r="J207" s="46"/>
      <c r="K207" s="46"/>
      <c r="L207" s="46"/>
      <c r="M207" s="46"/>
      <c r="N207" s="46"/>
      <c r="O207" s="46"/>
    </row>
    <row r="208" ht="15.75" customHeight="1">
      <c r="E208" s="45"/>
      <c r="G208" s="46"/>
      <c r="H208" s="46"/>
      <c r="I208" s="46"/>
      <c r="J208" s="46"/>
      <c r="K208" s="46"/>
      <c r="L208" s="46"/>
      <c r="M208" s="46"/>
      <c r="N208" s="46"/>
      <c r="O208" s="46"/>
    </row>
    <row r="209" ht="15.75" customHeight="1">
      <c r="E209" s="45"/>
      <c r="G209" s="46"/>
      <c r="H209" s="46"/>
      <c r="I209" s="46"/>
      <c r="J209" s="46"/>
      <c r="K209" s="46"/>
      <c r="L209" s="46"/>
      <c r="M209" s="46"/>
      <c r="N209" s="46"/>
      <c r="O209" s="46"/>
    </row>
    <row r="210" ht="15.75" customHeight="1">
      <c r="E210" s="45"/>
      <c r="G210" s="46"/>
      <c r="H210" s="46"/>
      <c r="I210" s="46"/>
      <c r="J210" s="46"/>
      <c r="K210" s="46"/>
      <c r="L210" s="46"/>
      <c r="M210" s="46"/>
      <c r="N210" s="46"/>
      <c r="O210" s="46"/>
    </row>
    <row r="211" ht="15.75" customHeight="1">
      <c r="E211" s="45"/>
      <c r="G211" s="46"/>
      <c r="H211" s="46"/>
      <c r="I211" s="46"/>
      <c r="J211" s="46"/>
      <c r="K211" s="46"/>
      <c r="L211" s="46"/>
      <c r="M211" s="46"/>
      <c r="N211" s="46"/>
      <c r="O211" s="46"/>
    </row>
    <row r="212" ht="15.75" customHeight="1">
      <c r="E212" s="45"/>
      <c r="G212" s="46"/>
      <c r="H212" s="46"/>
      <c r="I212" s="46"/>
      <c r="J212" s="46"/>
      <c r="K212" s="46"/>
      <c r="L212" s="46"/>
      <c r="M212" s="46"/>
      <c r="N212" s="46"/>
      <c r="O212" s="46"/>
    </row>
    <row r="213" ht="15.75" customHeight="1">
      <c r="E213" s="45"/>
      <c r="G213" s="46"/>
      <c r="H213" s="46"/>
      <c r="I213" s="46"/>
      <c r="J213" s="46"/>
      <c r="K213" s="46"/>
      <c r="L213" s="46"/>
      <c r="M213" s="46"/>
      <c r="N213" s="46"/>
      <c r="O213" s="46"/>
    </row>
    <row r="214" ht="15.75" customHeight="1">
      <c r="E214" s="45"/>
      <c r="G214" s="46"/>
      <c r="H214" s="46"/>
      <c r="I214" s="46"/>
      <c r="J214" s="46"/>
      <c r="K214" s="46"/>
      <c r="L214" s="46"/>
      <c r="M214" s="46"/>
      <c r="N214" s="46"/>
      <c r="O214" s="46"/>
    </row>
    <row r="215" ht="15.75" customHeight="1">
      <c r="E215" s="45"/>
      <c r="G215" s="46"/>
      <c r="H215" s="46"/>
      <c r="I215" s="46"/>
      <c r="J215" s="46"/>
      <c r="K215" s="46"/>
      <c r="L215" s="46"/>
      <c r="M215" s="46"/>
      <c r="N215" s="46"/>
      <c r="O215" s="46"/>
    </row>
    <row r="216" ht="15.75" customHeight="1">
      <c r="E216" s="45"/>
      <c r="G216" s="46"/>
      <c r="H216" s="46"/>
      <c r="I216" s="46"/>
      <c r="J216" s="46"/>
      <c r="K216" s="46"/>
      <c r="L216" s="46"/>
      <c r="M216" s="46"/>
      <c r="N216" s="46"/>
      <c r="O216" s="46"/>
    </row>
    <row r="217" ht="15.75" customHeight="1">
      <c r="E217" s="45"/>
      <c r="G217" s="46"/>
      <c r="H217" s="46"/>
      <c r="I217" s="46"/>
      <c r="J217" s="46"/>
      <c r="K217" s="46"/>
      <c r="L217" s="46"/>
      <c r="M217" s="46"/>
      <c r="N217" s="46"/>
      <c r="O217" s="46"/>
    </row>
    <row r="218" ht="15.75" customHeight="1">
      <c r="E218" s="45"/>
      <c r="G218" s="46"/>
      <c r="H218" s="46"/>
      <c r="I218" s="46"/>
      <c r="J218" s="46"/>
      <c r="K218" s="46"/>
      <c r="L218" s="46"/>
      <c r="M218" s="46"/>
      <c r="N218" s="46"/>
      <c r="O218" s="46"/>
    </row>
    <row r="219" ht="15.75" customHeight="1">
      <c r="E219" s="45"/>
      <c r="G219" s="46"/>
      <c r="H219" s="46"/>
      <c r="I219" s="46"/>
      <c r="J219" s="46"/>
      <c r="K219" s="46"/>
      <c r="L219" s="46"/>
      <c r="M219" s="46"/>
      <c r="N219" s="46"/>
      <c r="O219" s="46"/>
    </row>
    <row r="220" ht="15.75" customHeight="1">
      <c r="E220" s="45"/>
      <c r="G220" s="46"/>
      <c r="H220" s="46"/>
      <c r="I220" s="46"/>
      <c r="J220" s="46"/>
      <c r="K220" s="46"/>
      <c r="L220" s="46"/>
      <c r="M220" s="46"/>
      <c r="N220" s="46"/>
      <c r="O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G4"/>
    <mergeCell ref="H2:K2"/>
    <mergeCell ref="L2:N3"/>
    <mergeCell ref="O2:O4"/>
    <mergeCell ref="H3:I3"/>
    <mergeCell ref="J3:K3"/>
    <mergeCell ref="B1:G1"/>
    <mergeCell ref="A2:A4"/>
    <mergeCell ref="B2:B4"/>
    <mergeCell ref="C2:C4"/>
    <mergeCell ref="D2:D4"/>
    <mergeCell ref="E2:E4"/>
    <mergeCell ref="F2:F4"/>
  </mergeCells>
  <conditionalFormatting sqref="I5:I12 K5:N12">
    <cfRule type="containsText" dxfId="0" priority="1" operator="containsText" text="OK">
      <formula>NOT(ISERROR(SEARCH(("OK"),(I5))))</formula>
    </cfRule>
  </conditionalFormatting>
  <conditionalFormatting sqref="I5:I12 K5:N12">
    <cfRule type="containsText" dxfId="1" priority="2" operator="containsText" text="NA">
      <formula>NOT(ISERROR(SEARCH(("NA"),(I5))))</formula>
    </cfRule>
  </conditionalFormatting>
  <conditionalFormatting sqref="G2:O1000">
    <cfRule type="containsText" dxfId="0" priority="3" operator="containsText" text="High">
      <formula>NOT(ISERROR(SEARCH(("High"),(G2))))</formula>
    </cfRule>
  </conditionalFormatting>
  <conditionalFormatting sqref="G2:O1000">
    <cfRule type="containsText" dxfId="0" priority="4" operator="containsText" text="Medium">
      <formula>NOT(ISERROR(SEARCH(("Medium"),(G2))))</formula>
    </cfRule>
  </conditionalFormatting>
  <conditionalFormatting sqref="G2:O1000">
    <cfRule type="containsText" dxfId="0" priority="5" operator="containsText" text="Low">
      <formula>NOT(ISERROR(SEARCH(("Low"),(G2))))</formula>
    </cfRule>
  </conditionalFormatting>
  <dataValidations>
    <dataValidation type="list" allowBlank="1" sqref="H5:H12 J5:J12">
      <formula1>"x,●"</formula1>
    </dataValidation>
    <dataValidation type="list" allowBlank="1" sqref="I5:I12 K5:N12">
      <formula1>"OK,NG,NA"</formula1>
    </dataValidation>
    <dataValidation type="list" allowBlank="1" showErrorMessage="1" sqref="G5:G12">
      <formula1>"High,Medium,Low"</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3.5"/>
    <col customWidth="1" min="2" max="2" width="23.25"/>
    <col customWidth="1" min="3" max="3" width="39.13"/>
    <col customWidth="1" min="4" max="4" width="41.25"/>
    <col customWidth="1" min="5" max="5" width="44.0"/>
    <col customWidth="1" min="6" max="6" width="49.25"/>
    <col customWidth="1" min="12" max="14" width="14.5"/>
  </cols>
  <sheetData>
    <row r="1" ht="15.75" customHeight="1">
      <c r="A1" s="23" t="s">
        <v>22</v>
      </c>
      <c r="B1" s="24" t="s">
        <v>75</v>
      </c>
      <c r="C1" s="16"/>
      <c r="D1" s="16"/>
      <c r="E1" s="16"/>
      <c r="F1" s="16"/>
      <c r="G1" s="16"/>
      <c r="H1" s="16"/>
      <c r="I1" s="16"/>
      <c r="J1" s="16"/>
      <c r="K1" s="16"/>
      <c r="L1" s="16"/>
      <c r="M1" s="16"/>
      <c r="N1" s="16"/>
      <c r="O1" s="17"/>
    </row>
    <row r="2" ht="15.75" customHeight="1">
      <c r="A2" s="25" t="s">
        <v>24</v>
      </c>
      <c r="B2" s="26" t="s">
        <v>25</v>
      </c>
      <c r="C2" s="26" t="s">
        <v>26</v>
      </c>
      <c r="D2" s="26" t="s">
        <v>27</v>
      </c>
      <c r="E2" s="26" t="s">
        <v>28</v>
      </c>
      <c r="F2" s="26" t="s">
        <v>29</v>
      </c>
      <c r="G2" s="27" t="s">
        <v>30</v>
      </c>
      <c r="H2" s="28" t="s">
        <v>31</v>
      </c>
      <c r="I2" s="5"/>
      <c r="J2" s="5"/>
      <c r="K2" s="6"/>
      <c r="L2" s="29" t="s">
        <v>32</v>
      </c>
      <c r="N2" s="30"/>
      <c r="O2" s="31" t="s">
        <v>33</v>
      </c>
    </row>
    <row r="3" ht="15.75" customHeight="1">
      <c r="A3" s="32"/>
      <c r="B3" s="30"/>
      <c r="C3" s="30"/>
      <c r="D3" s="30"/>
      <c r="E3" s="30"/>
      <c r="F3" s="30"/>
      <c r="G3" s="30"/>
      <c r="H3" s="28" t="s">
        <v>34</v>
      </c>
      <c r="I3" s="5"/>
      <c r="J3" s="33" t="s">
        <v>35</v>
      </c>
      <c r="K3" s="17"/>
      <c r="L3" s="5"/>
      <c r="M3" s="5"/>
      <c r="N3" s="6"/>
      <c r="O3" s="30"/>
    </row>
    <row r="4" ht="15.75" customHeight="1">
      <c r="A4" s="34"/>
      <c r="B4" s="6"/>
      <c r="C4" s="6"/>
      <c r="D4" s="6"/>
      <c r="E4" s="6"/>
      <c r="F4" s="6"/>
      <c r="G4" s="6"/>
      <c r="H4" s="35" t="s">
        <v>36</v>
      </c>
      <c r="I4" s="35" t="s">
        <v>77</v>
      </c>
      <c r="J4" s="35" t="s">
        <v>36</v>
      </c>
      <c r="K4" s="35" t="s">
        <v>77</v>
      </c>
      <c r="L4" s="36" t="s">
        <v>38</v>
      </c>
      <c r="M4" s="37" t="s">
        <v>39</v>
      </c>
      <c r="N4" s="37" t="s">
        <v>40</v>
      </c>
      <c r="O4" s="6"/>
    </row>
    <row r="5" ht="15.75" customHeight="1">
      <c r="A5" s="47" t="str">
        <f>IFERROR(__xludf.DUMMYFUNCTION("GOOGLETRANSLATE(FT!A5,""vi"",""ja"")"),"ログイン")</f>
        <v>ログイン</v>
      </c>
      <c r="B5" s="16"/>
      <c r="C5" s="16"/>
      <c r="D5" s="16"/>
      <c r="E5" s="16"/>
      <c r="F5" s="16"/>
      <c r="G5" s="16"/>
      <c r="H5" s="16"/>
      <c r="I5" s="16"/>
      <c r="J5" s="16"/>
      <c r="K5" s="16"/>
      <c r="L5" s="16"/>
      <c r="M5" s="16"/>
      <c r="N5" s="16"/>
      <c r="O5" s="17"/>
    </row>
    <row r="6" ht="15.75" customHeight="1">
      <c r="A6" s="38" t="str">
        <f t="shared" ref="A6:A12" si="1">IF(F6&lt;&gt;"",""&amp;TEXT($B$1,"##")&amp;"_"&amp;(ROW()-5)-COUNTBLANK(F$6:F6),"")</f>
        <v>FT_1</v>
      </c>
      <c r="B6" s="39" t="str">
        <f>IFERROR(__xludf.DUMMYFUNCTION("GOOGLETRANSLATE(FT!B6,""vi"",""ja"")"),"UI")</f>
        <v>UI</v>
      </c>
      <c r="C6" s="39" t="str">
        <f>IFERROR(__xludf.DUMMYFUNCTION("GOOGLETRANSLATE(FT!C6,""vi"",""ja"")"),"UIを確認する")</f>
        <v>UIを確認する</v>
      </c>
      <c r="D6" s="39"/>
      <c r="E6" s="39" t="str">
        <f>IFERROR(__xludf.DUMMYFUNCTION("GOOGLETRANSLATE(FT!E6,""vi"",""ja"")"),"1. ログイン画面に移動します
2. UIをテストする")</f>
        <v>1. ログイン画面に移動します
2. UIをテストする</v>
      </c>
      <c r="F6" s="39" t="str">
        <f>IFERROR(__xludf.DUMMYFUNCTION("GOOGLETRANSLATE(FT!F6,""vi"",""ja"")"),"2. 設計どおりの画面表示: https://docs.google.com/presentation/d/1uIXz_fgthWJZ-wI9hncMjBFuUkY5cvgzLVYgvmFzVv4/edit?slide=id.g33b0c0e04ef_0_9#slide=id.g33b0c0e04ef_0_9")</f>
        <v>2. 設計どおりの画面表示: https://docs.google.com/presentation/d/1uIXz_fgthWJZ-wI9hncMjBFuUkY5cvgzLVYgvmFzVv4/edit?slide=id.g33b0c0e04ef_0_9#slide=id.g33b0c0e04ef_0_9</v>
      </c>
      <c r="G6" s="40" t="s">
        <v>45</v>
      </c>
      <c r="H6" s="41" t="s">
        <v>46</v>
      </c>
      <c r="I6" s="42" t="s">
        <v>667</v>
      </c>
      <c r="J6" s="41" t="s">
        <v>46</v>
      </c>
      <c r="K6" s="42"/>
      <c r="L6" s="42" t="s">
        <v>667</v>
      </c>
      <c r="M6" s="42" t="s">
        <v>667</v>
      </c>
      <c r="N6" s="42" t="s">
        <v>667</v>
      </c>
      <c r="O6" s="43"/>
    </row>
    <row r="7" ht="15.75" customHeight="1">
      <c r="A7" s="38" t="str">
        <f t="shared" si="1"/>
        <v>FT_2</v>
      </c>
      <c r="B7" s="39" t="str">
        <f>IFERROR(__xludf.DUMMYFUNCTION("GOOGLETRANSLATE(FT!B7,""vi"",""ja"")"),"ログインに失敗しました")</f>
        <v>ログインに失敗しました</v>
      </c>
      <c r="C7" s="39" t="str">
        <f>IFERROR(__xludf.DUMMYFUNCTION("GOOGLETRANSLATE(FT!C7,""vi"",""ja"")"),"未登録のユーザーメールアドレスで Google を使用してログインする ")</f>
        <v>未登録のユーザーメールアドレスで Google を使用してログインする </v>
      </c>
      <c r="D7" s="39" t="str">
        <f>IFERROR(__xludf.DUMMYFUNCTION("GOOGLETRANSLATE(FT!D7,""vi"",""ja"")"),"1.未登録のアカウント 
2. amdin で電子メールが削除/期限切れになりました (仕様はまだありません)")</f>
        <v>1.未登録のアカウント 
2. amdin で電子メールが削除/期限切れになりました (仕様はまだありません)</v>
      </c>
      <c r="E7" s="39" t="str">
        <f>IFERROR(__xludf.DUMMYFUNCTION("GOOGLETRANSLATE(FT!E7,""vi"",""ja"")"),"1. ログイン画面に移動します
2. Googleボタンをクリックします 
3. 対象画面でシステムに登録されていないメールを選択")</f>
        <v>1. ログイン画面に移動します
2. Googleボタンをクリックします 
3. 対象画面でシステムに登録されていないメールを選択</v>
      </c>
      <c r="F7" s="39" t="str">
        <f>IFERROR(__xludf.DUMMYFUNCTION("GOOGLETRANSLATE(FT!F7,""vi"",""ja"")"),"3. エラー メッセージを表示します。 
ログインに失敗しました。 
もう一度ログインするか学校管理者にお問い合わせください")</f>
        <v>3. エラー メッセージを表示します。 
ログインに失敗しました。 
もう一度ログインするか学校管理者にお問い合わせください</v>
      </c>
      <c r="G7" s="40" t="s">
        <v>45</v>
      </c>
      <c r="H7" s="41" t="s">
        <v>46</v>
      </c>
      <c r="I7" s="42" t="s">
        <v>667</v>
      </c>
      <c r="J7" s="41" t="s">
        <v>46</v>
      </c>
      <c r="K7" s="42"/>
      <c r="L7" s="42" t="s">
        <v>669</v>
      </c>
      <c r="M7" s="42" t="s">
        <v>667</v>
      </c>
      <c r="N7" s="42" t="s">
        <v>667</v>
      </c>
      <c r="O7" s="43"/>
    </row>
    <row r="8" ht="15.75" customHeight="1">
      <c r="A8" s="38" t="str">
        <f t="shared" si="1"/>
        <v>FT_3</v>
      </c>
      <c r="B8" s="39"/>
      <c r="C8" s="39" t="str">
        <f>IFERROR(__xludf.DUMMYFUNCTION("GOOGLETRANSLATE(FT!C8,""vi"",""ja"")"),"Microsoft を使用して未登録ユーザーの電子メールでログインする")</f>
        <v>Microsoft を使用して未登録ユーザーの電子メールでログインする</v>
      </c>
      <c r="D8" s="39" t="str">
        <f>IFERROR(__xludf.DUMMYFUNCTION("GOOGLETRANSLATE(FT!D8,""vi"",""ja"")"),"1.未登録のアカウント 
2. amdin で電子メールが削除/期限切れになりました (仕様はまだありません)")</f>
        <v>1.未登録のアカウント 
2. amdin で電子メールが削除/期限切れになりました (仕様はまだありません)</v>
      </c>
      <c r="E8" s="39" t="str">
        <f>IFERROR(__xludf.DUMMYFUNCTION("GOOGLETRANSLATE(FT!E8,""vi"",""ja"")"),"1. ログイン画面に移動します
2. Microsoft ボタンをクリックします
3. 対象画面でシステムに登録されていないメールを選択")</f>
        <v>1. ログイン画面に移動します
2. Microsoft ボタンをクリックします
3. 対象画面でシステムに登録されていないメールを選択</v>
      </c>
      <c r="F8" s="39" t="str">
        <f>IFERROR(__xludf.DUMMYFUNCTION("GOOGLETRANSLATE(FT!F8,""vi"",""ja"")"),"3. エラー メッセージを表示します。 
ログインに失敗しました。 
もう一度ログインするか学校管理者にお問い合わせください")</f>
        <v>3. エラー メッセージを表示します。 
ログインに失敗しました。 
もう一度ログインするか学校管理者にお問い合わせください</v>
      </c>
      <c r="G8" s="40" t="s">
        <v>45</v>
      </c>
      <c r="H8" s="41" t="s">
        <v>46</v>
      </c>
      <c r="I8" s="42" t="s">
        <v>667</v>
      </c>
      <c r="J8" s="41" t="s">
        <v>46</v>
      </c>
      <c r="K8" s="42"/>
      <c r="L8" s="42" t="s">
        <v>667</v>
      </c>
      <c r="M8" s="42" t="s">
        <v>669</v>
      </c>
      <c r="N8" s="42" t="s">
        <v>669</v>
      </c>
      <c r="O8" s="43"/>
    </row>
    <row r="9" ht="15.75" customHeight="1">
      <c r="A9" s="38" t="str">
        <f t="shared" si="1"/>
        <v>FT_4</v>
      </c>
      <c r="B9" s="39" t="str">
        <f>IFERROR(__xludf.DUMMYFUNCTION("GOOGLETRANSLATE(FT!B9,""vi"",""ja"")"),"ログイン成功")</f>
        <v>ログイン成功</v>
      </c>
      <c r="C9" s="39" t="str">
        <f>IFERROR(__xludf.DUMMYFUNCTION("GOOGLETRANSLATE(FT!C9,""vi"",""ja"")"),"登録ユーザーのメールアドレスでGoogleを使用してログインします")</f>
        <v>登録ユーザーのメールアドレスでGoogleを使用してログインします</v>
      </c>
      <c r="D9" s="39"/>
      <c r="E9" s="39" t="str">
        <f>IFERROR(__xludf.DUMMYFUNCTION("GOOGLETRANSLATE(FT!E9,""vi"",""ja"")"),"1. ログイン画面に移動します
2. Googleボタンをクリック =&gt; 表示を確認
3. 対象画面でシステムに登録されているメールアドレスを選択")</f>
        <v>1. ログイン画面に移動します
2. Googleボタンをクリック =&gt; 表示を確認
3. 対象画面でシステムに登録されているメールアドレスを選択</v>
      </c>
      <c r="F9" s="39" t="str">
        <f>IFERROR(__xludf.DUMMYFUNCTION("GOOGLETRANSLATE(FT!F9,""vi"",""ja"")"),"2. 画面には、アクセス中の Web サイトの名前と選択した電子メールが表示されます
3. ログインに成功し、デジタルツール一覧画面に移動します")</f>
        <v>2. 画面には、アクセス中の Web サイトの名前と選択した電子メールが表示されます
3. ログインに成功し、デジタルツール一覧画面に移動します</v>
      </c>
      <c r="G9" s="40" t="s">
        <v>45</v>
      </c>
      <c r="H9" s="41" t="s">
        <v>46</v>
      </c>
      <c r="I9" s="42" t="s">
        <v>667</v>
      </c>
      <c r="J9" s="41" t="s">
        <v>46</v>
      </c>
      <c r="K9" s="42"/>
      <c r="L9" s="42" t="s">
        <v>669</v>
      </c>
      <c r="M9" s="42" t="s">
        <v>667</v>
      </c>
      <c r="N9" s="42" t="s">
        <v>667</v>
      </c>
      <c r="O9" s="43"/>
    </row>
    <row r="10" ht="15.75" customHeight="1">
      <c r="A10" s="38" t="str">
        <f t="shared" si="1"/>
        <v>FT_5</v>
      </c>
      <c r="B10" s="39"/>
      <c r="C10" s="39" t="str">
        <f>IFERROR(__xludf.DUMMYFUNCTION("GOOGLETRANSLATE(FT!C10,""vi"",""ja"")"),"登録ユーザーの電子メールを使用して Microsoft を使用してログインする")</f>
        <v>登録ユーザーの電子メールを使用して Microsoft を使用してログインする</v>
      </c>
      <c r="D10" s="39"/>
      <c r="E10" s="39" t="str">
        <f>IFERROR(__xludf.DUMMYFUNCTION("GOOGLETRANSLATE(FT!E10,""vi"",""ja"")")," c")</f>
        <v> c</v>
      </c>
      <c r="F10" s="39" t="str">
        <f>IFERROR(__xludf.DUMMYFUNCTION("GOOGLETRANSLATE(FT!F10,""vi"",""ja"")"),"2. 画面には、アクセス中の Web サイトの名前と選択した電子メールが表示されます
3. ログインに成功し、デジタルツール一覧画面に移動します")</f>
        <v>2. 画面には、アクセス中の Web サイトの名前と選択した電子メールが表示されます
3. ログインに成功し、デジタルツール一覧画面に移動します</v>
      </c>
      <c r="G10" s="40" t="s">
        <v>45</v>
      </c>
      <c r="H10" s="41" t="s">
        <v>46</v>
      </c>
      <c r="I10" s="42" t="s">
        <v>667</v>
      </c>
      <c r="J10" s="41" t="s">
        <v>46</v>
      </c>
      <c r="K10" s="42"/>
      <c r="L10" s="42" t="s">
        <v>667</v>
      </c>
      <c r="M10" s="42" t="s">
        <v>669</v>
      </c>
      <c r="N10" s="42" t="s">
        <v>669</v>
      </c>
      <c r="O10" s="43"/>
    </row>
    <row r="11" ht="15.75" customHeight="1">
      <c r="A11" s="38" t="str">
        <f t="shared" si="1"/>
        <v>FT_6</v>
      </c>
      <c r="B11" s="39"/>
      <c r="C11" s="39" t="str">
        <f>IFERROR(__xludf.DUMMYFUNCTION("GOOGLETRANSLATE(FT!C11,""vi"",""ja"")"),"2 台のデバイスでアカウントのログインを確認する")</f>
        <v>2 台のデバイスでアカウントのログインを確認する</v>
      </c>
      <c r="D11" s="39"/>
      <c r="E11" s="39" t="str">
        <f>IFERROR(__xludf.DUMMYFUNCTION("GOOGLETRANSLATE(FT!E11,""vi"",""ja"")"),"【Chromebookを使用する場合】
1. ログイン成功 
【ASUSを使用する場合】 
2.Chromebookにログインしているアカウントでログインに成功しました")</f>
        <v>【Chromebookを使用する場合】
1. ログイン成功 
【ASUSを使用する場合】 
2.Chromebookにログインしているアカウントでログインに成功しました</v>
      </c>
      <c r="F11" s="39" t="str">
        <f>IFERROR(__xludf.DUMMYFUNCTION("GOOGLETRANSLATE(FT!F11,""vi"",""ja"")"),"2. Chromebook ではログアウトされます。")</f>
        <v>2. Chromebook ではログアウトされます。</v>
      </c>
      <c r="G11" s="40" t="s">
        <v>45</v>
      </c>
      <c r="H11" s="41" t="s">
        <v>46</v>
      </c>
      <c r="I11" s="42" t="s">
        <v>667</v>
      </c>
      <c r="J11" s="41" t="s">
        <v>46</v>
      </c>
      <c r="K11" s="42"/>
      <c r="L11" s="42" t="s">
        <v>667</v>
      </c>
      <c r="M11" s="42" t="s">
        <v>667</v>
      </c>
      <c r="N11" s="42" t="s">
        <v>669</v>
      </c>
      <c r="O11" s="43"/>
    </row>
    <row r="12" ht="15.75" customHeight="1">
      <c r="A12" s="38" t="str">
        <f t="shared" si="1"/>
        <v>FT_7</v>
      </c>
      <c r="B12" s="39"/>
      <c r="C12" s="39" t="str">
        <f>IFERROR(__xludf.DUMMYFUNCTION("GOOGLETRANSLATE(FT!C12,""vi"",""ja"")"),"同一端末上の2つのブラウザで1つのアカウントにログインする場合に確認します")</f>
        <v>同一端末上の2つのブラウザで1つのアカウントにログインする場合に確認します</v>
      </c>
      <c r="D12" s="39"/>
      <c r="E12" s="39" t="str">
        <f>IFERROR(__xludf.DUMMYFUNCTION("GOOGLETRANSLATE(FT!E12,""vi"",""ja"")"),"1. Chromeを開き、ログインに成功します
2. Microsoft Edgeを開き、手順1でChromeにログインしたアカウントで正常にログインします。")</f>
        <v>1. Chromeを開き、ログインに成功します
2. Microsoft Edgeを開き、手順1でChromeにログインしたアカウントで正常にログインします。</v>
      </c>
      <c r="F12" s="39" t="str">
        <f>IFERROR(__xludf.DUMMYFUNCTION("GOOGLETRANSLATE(FT!F12,""vi"",""ja"")"),"2. Chrome がログアウトされます")</f>
        <v>2. Chrome がログアウトされます</v>
      </c>
      <c r="G12" s="40" t="s">
        <v>45</v>
      </c>
      <c r="H12" s="41" t="s">
        <v>46</v>
      </c>
      <c r="I12" s="42" t="s">
        <v>667</v>
      </c>
      <c r="J12" s="41" t="s">
        <v>46</v>
      </c>
      <c r="K12" s="42"/>
      <c r="L12" s="42" t="s">
        <v>667</v>
      </c>
      <c r="M12" s="42" t="s">
        <v>669</v>
      </c>
      <c r="N12" s="42" t="s">
        <v>669</v>
      </c>
      <c r="O12" s="43"/>
    </row>
    <row r="13" ht="15.75" customHeight="1">
      <c r="A13" s="47" t="str">
        <f>IFERROR(__xludf.DUMMYFUNCTION("GOOGLETRANSLATE(FT!A13,""vi"",""ja"")"),"デジタルツール一覧一覧")</f>
        <v>デジタルツール一覧一覧</v>
      </c>
      <c r="B13" s="16"/>
      <c r="C13" s="16"/>
      <c r="D13" s="16"/>
      <c r="E13" s="16"/>
      <c r="F13" s="16"/>
      <c r="G13" s="16"/>
      <c r="H13" s="16"/>
      <c r="I13" s="16"/>
      <c r="J13" s="16"/>
      <c r="K13" s="16"/>
      <c r="L13" s="16"/>
      <c r="M13" s="16"/>
      <c r="N13" s="16"/>
      <c r="O13" s="17"/>
    </row>
    <row r="14" ht="15.75" customHeight="1">
      <c r="A14" s="38" t="str">
        <f t="shared" ref="A14:A15" si="2">IF(F14&lt;&gt;"",""&amp;TEXT($B$1,"##")&amp;"_"&amp;(ROW()-5)-COUNTBLANK(F$6:F14),"")</f>
        <v>FT_8</v>
      </c>
      <c r="B14" s="39" t="str">
        <f>IFERROR(__xludf.DUMMYFUNCTION("GOOGLETRANSLATE(FT!B14,""vi"",""ja"")"),"UI")</f>
        <v>UI</v>
      </c>
      <c r="C14" s="39" t="str">
        <f>IFERROR(__xludf.DUMMYFUNCTION("GOOGLETRANSLATE(FT!C14,""vi"",""ja"")"),"画面表示を確認する")</f>
        <v>画面表示を確認する</v>
      </c>
      <c r="D14" s="39" t="str">
        <f>IFERROR(__xludf.DUMMYFUNCTION("GOOGLETRANSLATE(FT!D14,""vi"",""ja"")"),"まだデジタルツールをクリックしていない場合")</f>
        <v>まだデジタルツールをクリックしていない場合</v>
      </c>
      <c r="E14" s="39" t="str">
        <f>IFERROR(__xludf.DUMMYFUNCTION("GOOGLETRANSLATE(FT!E14,""vi"",""ja"")"),"1.デジタルツール一覧画面へ
2. 画面表示を確認する")</f>
        <v>1.デジタルツール一覧画面へ
2. 画面表示を確認する</v>
      </c>
      <c r="F14" s="39" t="str">
        <f>IFERROR(__xludf.DUMMYFUNCTION("GOOGLETRANSLATE(FT!F14,""vi"",""ja"")"),"2. 設計どおりに画面を表示します: https://docs.google.com/presentation/d/1uIXz_fgthWJZ-wI9hncMjBFuUkY5cvgzLVYgvmFzVv4/edit?slide=id.g33b0341dd9c_0_51#slide=id.g33b0341dd9c_0_51
ボタンのダウンロードを無効にする ")</f>
        <v>2. 設計どおりに画面を表示します: https://docs.google.com/presentation/d/1uIXz_fgthWJZ-wI9hncMjBFuUkY5cvgzLVYgvmFzVv4/edit?slide=id.g33b0341dd9c_0_51#slide=id.g33b0341dd9c_0_51
ボタンのダウンロードを無効にする </v>
      </c>
      <c r="G14" s="40" t="s">
        <v>45</v>
      </c>
      <c r="H14" s="41" t="s">
        <v>46</v>
      </c>
      <c r="I14" s="42" t="s">
        <v>667</v>
      </c>
      <c r="J14" s="41" t="s">
        <v>46</v>
      </c>
      <c r="K14" s="42"/>
      <c r="L14" s="42" t="s">
        <v>667</v>
      </c>
      <c r="M14" s="42" t="s">
        <v>667</v>
      </c>
      <c r="N14" s="42" t="s">
        <v>667</v>
      </c>
      <c r="O14" s="43"/>
    </row>
    <row r="15" ht="15.75" customHeight="1">
      <c r="A15" s="38" t="str">
        <f t="shared" si="2"/>
        <v>FT_9</v>
      </c>
      <c r="B15" s="39"/>
      <c r="C15" s="39"/>
      <c r="D15" s="39" t="str">
        <f>IFERROR(__xludf.DUMMYFUNCTION("GOOGLETRANSLATE(FT!D15,""vi"",""ja"")"),"少なくとも 1 つのデジタル ツールを選択したら ")</f>
        <v>少なくとも 1 つのデジタル ツールを選択したら </v>
      </c>
      <c r="E15" s="39" t="str">
        <f>IFERROR(__xludf.DUMMYFUNCTION("GOOGLETRANSLATE(FT!E15,""vi"",""ja"")"),"1.デジタルツール一覧画面へ
2. 画面表示を確認する")</f>
        <v>1.デジタルツール一覧画面へ
2. 画面表示を確認する</v>
      </c>
      <c r="F15" s="39" t="str">
        <f>IFERROR(__xludf.DUMMYFUNCTION("GOOGLETRANSLATE(FT!F15,""vi"",""ja"")"),"2. 設計どおりに画面を表示します: https://docs.google.com/presentation/d/1uIXz_fgthWJZ-wI9hncMjBFuUkY5cvgzLVYgvmFzVv4/edit?slide=id.g33b0341dd9c_0_51#slide=id.g33b0341dd9c_0_51
ダウンロードを有効にするボタン")</f>
        <v>2. 設計どおりに画面を表示します: https://docs.google.com/presentation/d/1uIXz_fgthWJZ-wI9hncMjBFuUkY5cvgzLVYgvmFzVv4/edit?slide=id.g33b0341dd9c_0_51#slide=id.g33b0341dd9c_0_51
ダウンロードを有効にするボタン</v>
      </c>
      <c r="G15" s="40" t="s">
        <v>45</v>
      </c>
      <c r="H15" s="41" t="s">
        <v>46</v>
      </c>
      <c r="I15" s="42" t="s">
        <v>667</v>
      </c>
      <c r="J15" s="41" t="s">
        <v>46</v>
      </c>
      <c r="K15" s="42"/>
      <c r="L15" s="42" t="s">
        <v>667</v>
      </c>
      <c r="M15" s="42" t="s">
        <v>667</v>
      </c>
      <c r="N15" s="42" t="s">
        <v>667</v>
      </c>
      <c r="O15" s="43"/>
    </row>
    <row r="16" ht="15.75" customHeight="1">
      <c r="A16" s="38"/>
      <c r="B16" s="39"/>
      <c r="C16" s="39"/>
      <c r="D16" s="72" t="str">
        <f>IFERROR(__xludf.DUMMYFUNCTION("GOOGLETRANSLATE(FT!D16,""vi"",""ja"")"),"レスポンスを変えるとき")</f>
        <v>レスポンスを変えるとき</v>
      </c>
      <c r="E16" s="39" t="str">
        <f>IFERROR(__xludf.DUMMYFUNCTION("GOOGLETRANSLATE(FT!E16,""vi"",""ja"")"),"1.デジタルツール一覧画面へ
2. 画面表示を確認する")</f>
        <v>1.デジタルツール一覧画面へ
2. 画面表示を確認する</v>
      </c>
      <c r="F16" s="39" t="str">
        <f>IFERROR(__xludf.DUMMYFUNCTION("GOOGLETRANSLATE(FT!F16,""vi"",""ja"")"),"2. 設計どおりに画面を表示します: https://docs.google.com/presentation/d/1XpWbu-bA2yL_-K629zZp4dKmsWBh1WD2/edit?slide=id.p22#slide=id.p22")</f>
        <v>2. 設計どおりに画面を表示します: https://docs.google.com/presentation/d/1XpWbu-bA2yL_-K629zZp4dKmsWBh1WD2/edit?slide=id.p22#slide=id.p22</v>
      </c>
      <c r="G16" s="40" t="s">
        <v>45</v>
      </c>
      <c r="H16" s="41" t="s">
        <v>46</v>
      </c>
      <c r="I16" s="42" t="s">
        <v>667</v>
      </c>
      <c r="J16" s="41" t="s">
        <v>46</v>
      </c>
      <c r="K16" s="42"/>
      <c r="L16" s="73" t="s">
        <v>667</v>
      </c>
      <c r="M16" s="73" t="s">
        <v>667</v>
      </c>
      <c r="N16" s="73" t="s">
        <v>667</v>
      </c>
      <c r="O16" s="43"/>
    </row>
    <row r="17" ht="15.75" customHeight="1">
      <c r="A17" s="38" t="str">
        <f t="shared" ref="A17:A65" si="3">IF(F17&lt;&gt;"",""&amp;TEXT($B$1,"##")&amp;"_"&amp;(ROW()-5)-COUNTBLANK(F$6:F17),"")</f>
        <v>FT_11</v>
      </c>
      <c r="B17" s="39"/>
      <c r="C17" s="39" t="str">
        <f>IFERROR(__xludf.DUMMYFUNCTION("GOOGLETRANSLATE(FT!C17,""vi"",""ja"")"),"せんたく中のボタンをチェック
イラストを見る")</f>
        <v>せんたく中のボタンをチェック
イラストを見る</v>
      </c>
      <c r="D17" s="39" t="str">
        <f>IFERROR(__xludf.DUMMYFUNCTION("GOOGLETRANSLATE(FT!D17,""vi"",""ja"")"),"まだデジタルツールを選択していません")</f>
        <v>まだデジタルツールを選択していません</v>
      </c>
      <c r="E17" s="39" t="str">
        <f>IFERROR(__xludf.DUMMYFUNCTION("GOOGLETRANSLATE(FT!E17,""vi"",""ja"")"),"1.デジタルツール一覧画面へ
2.「せんたく中の」ボタンをクリックします
イラストを見る")</f>
        <v>1.デジタルツール一覧画面へ
2.「せんたく中の」ボタンをクリックします
イラストを見る</v>
      </c>
      <c r="F17" s="72" t="str">
        <f>IFERROR(__xludf.DUMMYFUNCTION("GOOGLETRANSLATE(FT!F17,""vi"",""ja"")"),"2. 選択したデジタル ツールを含むモーダルを表示します。モーダルにはデジタル ツールが含まれていません。")</f>
        <v>2. 選択したデジタル ツールを含むモーダルを表示します。モーダルにはデジタル ツールが含まれていません。</v>
      </c>
      <c r="G17" s="40" t="s">
        <v>45</v>
      </c>
      <c r="H17" s="41" t="s">
        <v>46</v>
      </c>
      <c r="I17" s="42" t="s">
        <v>667</v>
      </c>
      <c r="J17" s="41" t="s">
        <v>46</v>
      </c>
      <c r="K17" s="42"/>
      <c r="L17" s="42" t="s">
        <v>667</v>
      </c>
      <c r="M17" s="42" t="s">
        <v>667</v>
      </c>
      <c r="N17" s="42" t="s">
        <v>667</v>
      </c>
      <c r="O17" s="43"/>
    </row>
    <row r="18" ht="15.75" customHeight="1">
      <c r="A18" s="38" t="str">
        <f t="shared" si="3"/>
        <v>FT_12</v>
      </c>
      <c r="B18" s="39"/>
      <c r="C18" s="39" t="str">
        <f>IFERROR(__xludf.DUMMYFUNCTION("GOOGLETRANSLATE(FT!C18,""vi"",""ja"")"),"ドロップダウンをクリックしてチェックを入れます 絵のしゅるい")</f>
        <v>ドロップダウンをクリックしてチェックを入れます 絵のしゅるい</v>
      </c>
      <c r="D18" s="39"/>
      <c r="E18" s="39" t="str">
        <f>IFERROR(__xludf.DUMMYFUNCTION("GOOGLETRANSLATE(FT!E18,""vi"",""ja"")"),"1.デジタルツール一覧画面へ
2.「絵のしゅるい」ドロップダウンをクリックします。")</f>
        <v>1.デジタルツール一覧画面へ
2.「絵のしゅるい」ドロップダウンをクリックします。</v>
      </c>
      <c r="F18" s="39" t="str">
        <f>IFERROR(__xludf.DUMMYFUNCTION("GOOGLETRANSLATE(FT!F18,""vi"",""ja"")"),"2. カテゴリ別タグ一覧表示：Design as UI
")</f>
        <v>2. カテゴリ別タグ一覧表示：Design as UI
</v>
      </c>
      <c r="G18" s="40" t="s">
        <v>45</v>
      </c>
      <c r="H18" s="41" t="s">
        <v>46</v>
      </c>
      <c r="I18" s="42" t="s">
        <v>667</v>
      </c>
      <c r="J18" s="41" t="s">
        <v>46</v>
      </c>
      <c r="K18" s="42"/>
      <c r="L18" s="42" t="s">
        <v>667</v>
      </c>
      <c r="M18" s="42" t="s">
        <v>667</v>
      </c>
      <c r="N18" s="42" t="s">
        <v>667</v>
      </c>
      <c r="O18" s="43"/>
    </row>
    <row r="19" ht="15.75" customHeight="1">
      <c r="A19" s="38" t="str">
        <f t="shared" si="3"/>
        <v>FT_13</v>
      </c>
      <c r="B19" s="39"/>
      <c r="C19" s="39" t="str">
        <f>IFERROR(__xludf.DUMMYFUNCTION("GOOGLETRANSLATE(FT!C19,""vi"",""ja"")"),"ドロップダウンをクリックしてチェックを入れます 学年・教科書")</f>
        <v>ドロップダウンをクリックしてチェックを入れます 学年・教科書</v>
      </c>
      <c r="D19" s="39"/>
      <c r="E19" s="39" t="str">
        <f>IFERROR(__xludf.DUMMYFUNCTION("GOOGLETRANSLATE(FT!E19,""vi"",""ja"")"),"1.デジタルツール一覧画面へ
2. 「学年・教科書」ドロップダウンをクリックします。")</f>
        <v>1.デジタルツール一覧画面へ
2. 「学年・教科書」ドロップダウンをクリックします。</v>
      </c>
      <c r="F19" s="39" t="str">
        <f>IFERROR(__xludf.DUMMYFUNCTION("GOOGLETRANSLATE(FT!F19,""vi"",""ja"")"),"2. [教科書・学年]に従ってタグのリストを開きます: UI のようなデザイン
")</f>
        <v>2. [教科書・学年]に従ってタグのリストを開きます: UI のようなデザイン
</v>
      </c>
      <c r="G19" s="40" t="s">
        <v>45</v>
      </c>
      <c r="H19" s="41" t="s">
        <v>46</v>
      </c>
      <c r="I19" s="42" t="s">
        <v>667</v>
      </c>
      <c r="J19" s="41" t="s">
        <v>46</v>
      </c>
      <c r="K19" s="42"/>
      <c r="L19" s="42" t="s">
        <v>667</v>
      </c>
      <c r="M19" s="42" t="s">
        <v>667</v>
      </c>
      <c r="N19" s="42" t="s">
        <v>667</v>
      </c>
      <c r="O19" s="43"/>
    </row>
    <row r="20" ht="15.75" customHeight="1">
      <c r="A20" s="38" t="str">
        <f t="shared" si="3"/>
        <v>FT_14</v>
      </c>
      <c r="B20" s="39" t="str">
        <f>IFERROR(__xludf.DUMMYFUNCTION("GOOGLETRANSLATE(FT!B20,""vi"",""ja"")"),"アバター情報")</f>
        <v>アバター情報</v>
      </c>
      <c r="C20" s="39" t="str">
        <f>IFERROR(__xludf.DUMMYFUNCTION("GOOGLETRANSLATE(FT!C20,""vi"",""ja"")"),"ユーザー情報の表示を確認する")</f>
        <v>ユーザー情報の表示を確認する</v>
      </c>
      <c r="D20" s="39" t="str">
        <f>IFERROR(__xludf.DUMMYFUNCTION("GOOGLETRANSLATE(FT!D20,""vi"",""ja"")"),"表示できる最大文字数以下の名前のアカウントでログインしてください")</f>
        <v>表示できる最大文字数以下の名前のアカウントでログインしてください</v>
      </c>
      <c r="E20" s="39" t="str">
        <f>IFERROR(__xludf.DUMMYFUNCTION("GOOGLETRANSLATE(FT!E20,""vi"",""ja"")"),"1.デジタルツール一覧画面へ
2. ユーザー情報の表示を確認する
3. ユーザー名の上にマウスを置く =&gt; ツールチップの表示を確認する")</f>
        <v>1.デジタルツール一覧画面へ
2. ユーザー情報の表示を確認する
3. ユーザー名の上にマウスを置く =&gt; ツールチップの表示を確認する</v>
      </c>
      <c r="F20" s="39" t="str">
        <f>IFERROR(__xludf.DUMMYFUNCTION("GOOGLETRANSLATE(FT!F20,""vi"",""ja"")"),"2. アバターの表示 
    ユーザーのフルネーム
3. ユーザーのフルネーム+さんのツールチップを表示")</f>
        <v>2. アバターの表示 
    ユーザーのフルネーム
3. ユーザーのフルネーム+さんのツールチップを表示</v>
      </c>
      <c r="G20" s="40" t="s">
        <v>45</v>
      </c>
      <c r="H20" s="41" t="s">
        <v>46</v>
      </c>
      <c r="I20" s="42" t="s">
        <v>667</v>
      </c>
      <c r="J20" s="41" t="s">
        <v>46</v>
      </c>
      <c r="K20" s="42"/>
      <c r="L20" s="42" t="s">
        <v>667</v>
      </c>
      <c r="M20" s="42" t="s">
        <v>667</v>
      </c>
      <c r="N20" s="70" t="s">
        <v>667</v>
      </c>
      <c r="O20" s="43"/>
    </row>
    <row r="21" ht="15.75" customHeight="1">
      <c r="A21" s="38" t="str">
        <f t="shared" si="3"/>
        <v>FT_15</v>
      </c>
      <c r="B21" s="39"/>
      <c r="C21" s="39"/>
      <c r="D21" s="39" t="str">
        <f>IFERROR(__xludf.DUMMYFUNCTION("GOOGLETRANSLATE(FT!D21,""vi"",""ja"")"),"&gt; という名前のアカウントでログインしてください &gt; 表示できる最大文字数")</f>
        <v>&gt; という名前のアカウントでログインしてください &gt; 表示できる最大文字数</v>
      </c>
      <c r="E21" s="39" t="str">
        <f>IFERROR(__xludf.DUMMYFUNCTION("GOOGLETRANSLATE(FT!E21,""vi"",""ja"")"),"1.デジタルツール一覧画面へ
2. ユーザー情報の表示を確認する
3. ユーザー名の上にマウスを置く =&gt; ツールチップの表示を確認する")</f>
        <v>1.デジタルツール一覧画面へ
2. ユーザー情報の表示を確認する
3. ユーザー名の上にマウスを置く =&gt; ツールチップの表示を確認する</v>
      </c>
      <c r="F21" s="72" t="str">
        <f>IFERROR(__xludf.DUMMYFUNCTION("GOOGLETRANSLATE(FT!F21,""vi"",""ja"")"),"2. アバターの表示 
    ユーザー名: 最大文字数を表示し...
3. ユーザーのフルネームツールチップ+さんを表示")</f>
        <v>2. アバターの表示 
    ユーザー名: 最大文字数を表示し...
3. ユーザーのフルネームツールチップ+さんを表示</v>
      </c>
      <c r="G21" s="40" t="s">
        <v>102</v>
      </c>
      <c r="H21" s="41" t="s">
        <v>46</v>
      </c>
      <c r="I21" s="42" t="s">
        <v>667</v>
      </c>
      <c r="J21" s="41" t="s">
        <v>46</v>
      </c>
      <c r="K21" s="42"/>
      <c r="L21" s="70" t="s">
        <v>668</v>
      </c>
      <c r="M21" s="42" t="s">
        <v>667</v>
      </c>
      <c r="N21" s="42" t="s">
        <v>667</v>
      </c>
      <c r="O21" s="43"/>
    </row>
    <row r="22" ht="15.75" customHeight="1">
      <c r="A22" s="38" t="str">
        <f t="shared" si="3"/>
        <v>FT_16</v>
      </c>
      <c r="B22" s="39"/>
      <c r="C22" s="39" t="str">
        <f>IFERROR(__xludf.DUMMYFUNCTION("GOOGLETRANSLATE(FT!C22,""vi"",""ja"")"),"アバターをクリックして確認してください ")</f>
        <v>アバターをクリックして確認してください </v>
      </c>
      <c r="D22" s="39"/>
      <c r="E22" s="39" t="str">
        <f>IFERROR(__xludf.DUMMYFUNCTION("GOOGLETRANSLATE(FT!E22,""vi"",""ja"")"),"1.デジタルツール一覧画面へ
2. アバターをクリックします
3. 表示確認")</f>
        <v>1.デジタルツール一覧画面へ
2. アバターをクリックします
3. 表示確認</v>
      </c>
      <c r="F22" s="39" t="str">
        <f>IFERROR(__xludf.DUMMYFUNCTION("GOOGLETRANSLATE(FT!F22,""vi"",""ja"")"),"3. 表示メニュー: ユーザーの完全な電子メールとログアウト ボタン")</f>
        <v>3. 表示メニュー: ユーザーの完全な電子メールとログアウト ボタン</v>
      </c>
      <c r="G22" s="40" t="s">
        <v>45</v>
      </c>
      <c r="H22" s="41" t="s">
        <v>46</v>
      </c>
      <c r="I22" s="42" t="s">
        <v>667</v>
      </c>
      <c r="J22" s="41" t="s">
        <v>46</v>
      </c>
      <c r="K22" s="42"/>
      <c r="L22" s="42" t="s">
        <v>667</v>
      </c>
      <c r="M22" s="42" t="s">
        <v>667</v>
      </c>
      <c r="N22" s="42" t="s">
        <v>667</v>
      </c>
      <c r="O22" s="43"/>
    </row>
    <row r="23" ht="15.75" customHeight="1">
      <c r="A23" s="38" t="str">
        <f t="shared" si="3"/>
        <v>FT_17</v>
      </c>
      <c r="B23" s="39"/>
      <c r="C23" s="39"/>
      <c r="D23" s="39"/>
      <c r="E23" s="39" t="str">
        <f>IFERROR(__xludf.DUMMYFUNCTION("GOOGLETRANSLATE(FT!E23,""vi"",""ja"")"),"1.デジタルツール一覧画面へ
2. アバターをクリックします
3. アバターをもう一度クリックします")</f>
        <v>1.デジタルツール一覧画面へ
2. アバターをクリックします
3. アバターをもう一度クリックします</v>
      </c>
      <c r="F23" s="39" t="str">
        <f>IFERROR(__xludf.DUMMYFUNCTION("GOOGLETRANSLATE(FT!F23,""vi"",""ja"")"),"3. 表示されたメニューを閉じる")</f>
        <v>3. 表示されたメニューを閉じる</v>
      </c>
      <c r="G23" s="40" t="s">
        <v>45</v>
      </c>
      <c r="H23" s="41" t="s">
        <v>46</v>
      </c>
      <c r="I23" s="42" t="s">
        <v>667</v>
      </c>
      <c r="J23" s="41" t="s">
        <v>46</v>
      </c>
      <c r="K23" s="42"/>
      <c r="L23" s="42" t="s">
        <v>667</v>
      </c>
      <c r="M23" s="42" t="s">
        <v>667</v>
      </c>
      <c r="N23" s="42" t="s">
        <v>667</v>
      </c>
      <c r="O23" s="43"/>
    </row>
    <row r="24" ht="15.75" customHeight="1">
      <c r="A24" s="38" t="str">
        <f t="shared" si="3"/>
        <v>FT_18</v>
      </c>
      <c r="B24" s="39"/>
      <c r="C24" s="39"/>
      <c r="D24" s="39"/>
      <c r="E24" s="39" t="str">
        <f>IFERROR(__xludf.DUMMYFUNCTION("GOOGLETRANSLATE(FT!E24,""vi"",""ja"")"),"1.デジタルツール一覧画面へ
2. アバターをクリックします
3. メニュー表示領域外をクリック")</f>
        <v>1.デジタルツール一覧画面へ
2. アバターをクリックします
3. メニュー表示領域外をクリック</v>
      </c>
      <c r="F24" s="39" t="str">
        <f>IFERROR(__xludf.DUMMYFUNCTION("GOOGLETRANSLATE(FT!F24,""vi"",""ja"")"),"3. 表示されたメニューを閉じる")</f>
        <v>3. 表示されたメニューを閉じる</v>
      </c>
      <c r="G24" s="40" t="s">
        <v>102</v>
      </c>
      <c r="H24" s="41" t="s">
        <v>46</v>
      </c>
      <c r="I24" s="42" t="s">
        <v>667</v>
      </c>
      <c r="J24" s="41" t="s">
        <v>46</v>
      </c>
      <c r="K24" s="42"/>
      <c r="L24" s="42" t="s">
        <v>667</v>
      </c>
      <c r="M24" s="42" t="s">
        <v>667</v>
      </c>
      <c r="N24" s="42" t="s">
        <v>667</v>
      </c>
      <c r="O24" s="43"/>
    </row>
    <row r="25" ht="15.75" customHeight="1">
      <c r="A25" s="38" t="str">
        <f t="shared" si="3"/>
        <v>FT_19</v>
      </c>
      <c r="B25" s="39"/>
      <c r="C25" s="39" t="str">
        <f>IFERROR(__xludf.DUMMYFUNCTION("GOOGLETRANSLATE(FT!C25,""vi"",""ja"")"),"ログアウトボタンのクリックを確認してください")</f>
        <v>ログアウトボタンのクリックを確認してください</v>
      </c>
      <c r="D25" s="39"/>
      <c r="E25" s="39" t="str">
        <f>IFERROR(__xludf.DUMMYFUNCTION("GOOGLETRANSLATE(FT!E25,""vi"",""ja"")"),"1.デジタルツール一覧画面へ
2. アバターをクリックします
3. ログアウトボタンをクリックします。
4.「キャンセル」ボタンをクリックします。")</f>
        <v>1.デジタルツール一覧画面へ
2. アバターをクリックします
3. ログアウトボタンをクリックします。
4.「キャンセル」ボタンをクリックします。</v>
      </c>
      <c r="F25" s="39" t="str">
        <f>IFERROR(__xludf.DUMMYFUNCTION("GOOGLETRANSLATE(FT!F25,""vi"",""ja"")"),"3. 確認ポップアップを表示します。 
このアカウントからログアウト 
それでもよろしいでしょうか？
「キャンセル」と「はい」の2つのボタン
4. 確認ポップアップを閉じてもデジタルツール一覧画面を表示します")</f>
        <v>3. 確認ポップアップを表示します。 
このアカウントからログアウト 
それでもよろしいでしょうか？
「キャンセル」と「はい」の2つのボタン
4. 確認ポップアップを閉じてもデジタルツール一覧画面を表示します</v>
      </c>
      <c r="G25" s="40" t="s">
        <v>45</v>
      </c>
      <c r="H25" s="41" t="s">
        <v>46</v>
      </c>
      <c r="I25" s="42" t="s">
        <v>667</v>
      </c>
      <c r="J25" s="41" t="s">
        <v>46</v>
      </c>
      <c r="K25" s="42"/>
      <c r="L25" s="42" t="s">
        <v>667</v>
      </c>
      <c r="M25" s="42" t="s">
        <v>667</v>
      </c>
      <c r="N25" s="42" t="s">
        <v>667</v>
      </c>
      <c r="O25" s="43"/>
    </row>
    <row r="26" ht="15.75" customHeight="1">
      <c r="A26" s="38" t="str">
        <f t="shared" si="3"/>
        <v>FT_20</v>
      </c>
      <c r="B26" s="39"/>
      <c r="C26" s="39"/>
      <c r="D26" s="39"/>
      <c r="E26" s="39" t="str">
        <f>IFERROR(__xludf.DUMMYFUNCTION("GOOGLETRANSLATE(FT!E26,""vi"",""ja"")"),"1.デジタルツール一覧画面へ
2. アバターをクリックします
3. ログアウトボタンをクリックします。
4. メニュー領域の外側をクリックします")</f>
        <v>1.デジタルツール一覧画面へ
2. アバターをクリックします
3. ログアウトボタンをクリックします。
4. メニュー領域の外側をクリックします</v>
      </c>
      <c r="F26" s="39" t="str">
        <f>IFERROR(__xludf.DUMMYFUNCTION("GOOGLETRANSLATE(FT!F26,""vi"",""ja"")"),"3. 表示されたメニューを閉じる")</f>
        <v>3. 表示されたメニューを閉じる</v>
      </c>
      <c r="G26" s="40" t="s">
        <v>102</v>
      </c>
      <c r="H26" s="41" t="s">
        <v>46</v>
      </c>
      <c r="I26" s="42" t="s">
        <v>667</v>
      </c>
      <c r="J26" s="41" t="s">
        <v>46</v>
      </c>
      <c r="K26" s="42"/>
      <c r="L26" s="42" t="s">
        <v>667</v>
      </c>
      <c r="M26" s="42" t="s">
        <v>667</v>
      </c>
      <c r="N26" s="42" t="s">
        <v>667</v>
      </c>
      <c r="O26" s="43"/>
    </row>
    <row r="27" ht="15.75" customHeight="1">
      <c r="A27" s="38" t="str">
        <f t="shared" si="3"/>
        <v>FT_21</v>
      </c>
      <c r="B27" s="39"/>
      <c r="C27" s="39"/>
      <c r="D27" s="39"/>
      <c r="E27" s="39" t="str">
        <f>IFERROR(__xludf.DUMMYFUNCTION("GOOGLETRANSLATE(FT!E27,""vi"",""ja"")"),"1.デジタルツール一覧画面へ
2. アバターをクリックします
3. ログアウトボタンをクリックします。
4.「はい」ボタンをクリックします")</f>
        <v>1.デジタルツール一覧画面へ
2. アバターをクリックします
3. ログアウトボタンをクリックします。
4.「はい」ボタンをクリックします</v>
      </c>
      <c r="F27" s="39" t="str">
        <f>IFERROR(__xludf.DUMMYFUNCTION("GOOGLETRANSLATE(FT!F27,""vi"",""ja"")"),"3. 確認ポップアップを表示します。 
このアカウントからログアウト 
それでもよろしいでしょうか？
「キャンセル」と「はい」の2つのボタン
4. ログイン画面からログアウトします")</f>
        <v>3. 確認ポップアップを表示します。 
このアカウントからログアウト 
それでもよろしいでしょうか？
「キャンセル」と「はい」の2つのボタン
4. ログイン画面からログアウトします</v>
      </c>
      <c r="G27" s="40" t="s">
        <v>45</v>
      </c>
      <c r="H27" s="41" t="s">
        <v>46</v>
      </c>
      <c r="I27" s="42" t="s">
        <v>667</v>
      </c>
      <c r="J27" s="41" t="s">
        <v>46</v>
      </c>
      <c r="K27" s="42"/>
      <c r="L27" s="42" t="s">
        <v>667</v>
      </c>
      <c r="M27" s="42" t="s">
        <v>667</v>
      </c>
      <c r="N27" s="42" t="s">
        <v>667</v>
      </c>
      <c r="O27" s="43"/>
    </row>
    <row r="28" ht="15.75" customHeight="1">
      <c r="A28" s="38" t="str">
        <f t="shared" si="3"/>
        <v>FT_22</v>
      </c>
      <c r="B28" s="39" t="str">
        <f>IFERROR(__xludf.DUMMYFUNCTION("GOOGLETRANSLATE(FT!B28,""vi"",""ja"")"),"リストデータ")</f>
        <v>リストデータ</v>
      </c>
      <c r="C28" s="39" t="str">
        <f>IFERROR(__xludf.DUMMYFUNCTION("GOOGLETRANSLATE(FT!C28,""vi"",""ja"")"),"表示されたリストを確認する")</f>
        <v>表示されたリストを確認する</v>
      </c>
      <c r="D28" s="39"/>
      <c r="E28" s="39" t="str">
        <f>IFERROR(__xludf.DUMMYFUNCTION("GOOGLETRANSLATE(FT!E28,""vi"",""ja"")"),"1.デジタルツール一覧画面へ
2. リストデータデジタルツールの表示を確認する")</f>
        <v>1.デジタルツール一覧画面へ
2. リストデータデジタルツールの表示を確認する</v>
      </c>
      <c r="F28" s="39" t="str">
        <f>IFERROR(__xludf.DUMMYFUNCTION("GOOGLETRANSLATE(FT!F28,""vi"",""ja"")"),"2. 10x3個のリストデータを表示：カテゴリデジタルツールと[教科書・学年]を含む")</f>
        <v>2. 10x3個のリストデータを表示：カテゴリデジタルツールと[教科書・学年]を含む</v>
      </c>
      <c r="G28" s="40" t="s">
        <v>45</v>
      </c>
      <c r="H28" s="41" t="s">
        <v>46</v>
      </c>
      <c r="I28" s="42" t="s">
        <v>667</v>
      </c>
      <c r="J28" s="41" t="s">
        <v>46</v>
      </c>
      <c r="K28" s="42"/>
      <c r="L28" s="42" t="s">
        <v>667</v>
      </c>
      <c r="M28" s="42" t="s">
        <v>667</v>
      </c>
      <c r="N28" s="42" t="s">
        <v>667</v>
      </c>
      <c r="O28" s="43"/>
    </row>
    <row r="29" ht="15.75" customHeight="1">
      <c r="A29" s="38" t="str">
        <f t="shared" si="3"/>
        <v>FT_23</v>
      </c>
      <c r="B29" s="39"/>
      <c r="C29" s="39"/>
      <c r="D29" s="39" t="str">
        <f>IFERROR(__xludf.DUMMYFUNCTION("GOOGLETRANSLATE(FT!D29,""vi"",""ja"")"),"応答を最小限に抑える場合")</f>
        <v>応答を最小限に抑える場合</v>
      </c>
      <c r="E29" s="39" t="str">
        <f>IFERROR(__xludf.DUMMYFUNCTION("GOOGLETRANSLATE(FT!E29,""vi"",""ja"")"),"1.デジタルツール一覧画面へ
2. 応答を最小限に抑える 
3. リストデータデジタルツールの表示を確認する")</f>
        <v>1.デジタルツール一覧画面へ
2. 応答を最小限に抑える 
3. リストデータデジタルツールの表示を確認する</v>
      </c>
      <c r="F29" s="39" t="str">
        <f>IFERROR(__xludf.DUMMYFUNCTION("GOOGLETRANSLATE(FT!F29,""vi"",""ja"")"),"3. 6x3数量のリストデータを表示：カテゴリデジタルツールと[教科書・学年]を含む")</f>
        <v>3. 6x3数量のリストデータを表示：カテゴリデジタルツールと[教科書・学年]を含む</v>
      </c>
      <c r="G29" s="40" t="s">
        <v>45</v>
      </c>
      <c r="H29" s="41" t="s">
        <v>46</v>
      </c>
      <c r="I29" s="42" t="s">
        <v>667</v>
      </c>
      <c r="J29" s="41" t="s">
        <v>46</v>
      </c>
      <c r="K29" s="42"/>
      <c r="L29" s="42" t="s">
        <v>667</v>
      </c>
      <c r="M29" s="42" t="s">
        <v>667</v>
      </c>
      <c r="N29" s="42" t="s">
        <v>667</v>
      </c>
      <c r="O29" s="43"/>
    </row>
    <row r="30" ht="15.75" customHeight="1">
      <c r="A30" s="38" t="str">
        <f t="shared" si="3"/>
        <v>FT_24</v>
      </c>
      <c r="B30" s="39"/>
      <c r="C30" s="39" t="str">
        <f>IFERROR(__xludf.DUMMYFUNCTION("GOOGLETRANSLATE(FT!C30,""vi"",""ja"")"),"デジタルツール情報を確認する")</f>
        <v>デジタルツール情報を確認する</v>
      </c>
      <c r="D30" s="39"/>
      <c r="E30" s="39" t="str">
        <f>IFERROR(__xludf.DUMMYFUNCTION("GOOGLETRANSLATE(FT!E30,""vi"",""ja"")"),"1.デジタルツール一覧画面へ
2. デジタルツール表示枠内にあるデジタルツールの情報を確認する")</f>
        <v>1.デジタルツール一覧画面へ
2. デジタルツール表示枠内にあるデジタルツールの情報を確認する</v>
      </c>
      <c r="F30" s="72" t="str">
        <f>IFERROR(__xludf.DUMMYFUNCTION("GOOGLETRANSLATE(FT!F30,""vi"",""ja"")"),"2.画像​​枠内に収まる画像を表示限界まで表示する
    デジタルツールの完全名を表示します")</f>
        <v>2.画像​​枠内に収まる画像を表示限界まで表示する
    デジタルツールの完全名を表示します</v>
      </c>
      <c r="G30" s="40" t="s">
        <v>45</v>
      </c>
      <c r="H30" s="41" t="s">
        <v>46</v>
      </c>
      <c r="I30" s="42" t="s">
        <v>667</v>
      </c>
      <c r="J30" s="41" t="s">
        <v>46</v>
      </c>
      <c r="K30" s="50"/>
      <c r="L30" s="42" t="s">
        <v>667</v>
      </c>
      <c r="M30" s="42" t="s">
        <v>667</v>
      </c>
      <c r="N30" s="42" t="s">
        <v>667</v>
      </c>
      <c r="O30" s="51"/>
    </row>
    <row r="31" ht="15.75" customHeight="1">
      <c r="A31" s="38" t="str">
        <f t="shared" si="3"/>
        <v>FT_25</v>
      </c>
      <c r="B31" s="39"/>
      <c r="C31" s="39"/>
      <c r="D31" s="39"/>
      <c r="E31" s="39" t="str">
        <f>IFERROR(__xludf.DUMMYFUNCTION("GOOGLETRANSLATE(FT!E31,""vi"",""ja"")"),"1.デジタルツール一覧画面へ
2. デジタルツール表示枠外に名前があるデジタルツールの情報を確認する")</f>
        <v>1.デジタルツール一覧画面へ
2. デジタルツール表示枠外に名前があるデジタルツールの情報を確認する</v>
      </c>
      <c r="F31" s="72" t="str">
        <f>IFERROR(__xludf.DUMMYFUNCTION("GOOGLETRANSLATE(FT!F31,""vi"",""ja"")"),"2.画像​​枠内に収まる画像を表示限界まで表示する
    名称はデジタルツール枠の限界まで表示、それ以外は切り捨てる")</f>
        <v>2.画像​​枠内に収まる画像を表示限界まで表示する
    名称はデジタルツール枠の限界まで表示、それ以外は切り捨てる</v>
      </c>
      <c r="G31" s="40" t="s">
        <v>45</v>
      </c>
      <c r="H31" s="41" t="s">
        <v>46</v>
      </c>
      <c r="I31" s="42" t="s">
        <v>667</v>
      </c>
      <c r="J31" s="41" t="s">
        <v>46</v>
      </c>
      <c r="K31" s="50"/>
      <c r="L31" s="42" t="s">
        <v>667</v>
      </c>
      <c r="M31" s="42" t="s">
        <v>667</v>
      </c>
      <c r="N31" s="42" t="s">
        <v>667</v>
      </c>
      <c r="O31" s="51"/>
    </row>
    <row r="32" ht="15.75" customHeight="1">
      <c r="A32" s="38" t="str">
        <f t="shared" si="3"/>
        <v>FT_26</v>
      </c>
      <c r="B32" s="39"/>
      <c r="C32" s="39" t="str">
        <f>IFERROR(__xludf.DUMMYFUNCTION("GOOGLETRANSLATE(FT!C32,""vi"",""ja"")"),"ズームデジタルツールのクリックを確認してください")</f>
        <v>ズームデジタルツールのクリックを確認してください</v>
      </c>
      <c r="D32" s="39"/>
      <c r="E32" s="39" t="str">
        <f>IFERROR(__xludf.DUMMYFUNCTION("GOOGLETRANSLATE(FT!E32,""vi"",""ja"")"),"1.デジタルツール一覧画面へ
2. デジタルツールのズームボタンをクリックします。")</f>
        <v>1.デジタルツール一覧画面へ
2. デジタルツールのズームボタンをクリックします。</v>
      </c>
      <c r="F32" s="72" t="str">
        <f>IFERROR(__xludf.DUMMYFUNCTION("GOOGLETRANSLATE(FT!F32,""vi"",""ja"")"),"2. 拡大するために選択したデジタルツールを拡大するためのポップアップを表示します: フル画像とデジタルツール名を表示します")</f>
        <v>2. 拡大するために選択したデジタルツールを拡大するためのポップアップを表示します: フル画像とデジタルツール名を表示します</v>
      </c>
      <c r="G32" s="40" t="s">
        <v>45</v>
      </c>
      <c r="H32" s="41" t="s">
        <v>46</v>
      </c>
      <c r="I32" s="42" t="s">
        <v>667</v>
      </c>
      <c r="J32" s="41" t="s">
        <v>46</v>
      </c>
      <c r="K32" s="50"/>
      <c r="L32" s="42" t="s">
        <v>667</v>
      </c>
      <c r="M32" s="42" t="s">
        <v>667</v>
      </c>
      <c r="N32" s="42" t="s">
        <v>667</v>
      </c>
      <c r="O32" s="51"/>
    </row>
    <row r="33" ht="15.75" customHeight="1">
      <c r="A33" s="38" t="str">
        <f t="shared" si="3"/>
        <v>FT_27</v>
      </c>
      <c r="B33" s="39"/>
      <c r="C33" s="39" t="str">
        <f>IFERROR(__xludf.DUMMYFUNCTION("GOOGLETRANSLATE(FT!C33,""vi"",""ja"")"),"デジタルツールズームポップアップを確認して閉じます")</f>
        <v>デジタルツールズームポップアップを確認して閉じます</v>
      </c>
      <c r="D33" s="39"/>
      <c r="E33" s="39" t="str">
        <f>IFERROR(__xludf.DUMMYFUNCTION("GOOGLETRANSLATE(FT!E33,""vi"",""ja"")"),"1.デジタルツール一覧画面へ
2. デジタルツールのズームボタンをクリックします。
3. デジタルツールポップアップのズームボタンをクリックします。")</f>
        <v>1.デジタルツール一覧画面へ
2. デジタルツールのズームボタンをクリックします。
3. デジタルツールポップアップのズームボタンをクリックします。</v>
      </c>
      <c r="F33" s="39" t="str">
        <f>IFERROR(__xludf.DUMMYFUNCTION("GOOGLETRANSLATE(FT!F33,""vi"",""ja"")"),"3. デジタルツールのズームポップアップを閉じます")</f>
        <v>3. デジタルツールのズームポップアップを閉じます</v>
      </c>
      <c r="G33" s="40" t="s">
        <v>45</v>
      </c>
      <c r="H33" s="41" t="s">
        <v>46</v>
      </c>
      <c r="I33" s="42" t="s">
        <v>667</v>
      </c>
      <c r="J33" s="41" t="s">
        <v>46</v>
      </c>
      <c r="K33" s="50"/>
      <c r="L33" s="42" t="s">
        <v>667</v>
      </c>
      <c r="M33" s="42" t="s">
        <v>667</v>
      </c>
      <c r="N33" s="42" t="s">
        <v>667</v>
      </c>
      <c r="O33" s="51"/>
    </row>
    <row r="34" ht="15.75" customHeight="1">
      <c r="A34" s="38" t="str">
        <f t="shared" si="3"/>
        <v>FT_28</v>
      </c>
      <c r="B34" s="39"/>
      <c r="C34" s="39"/>
      <c r="D34" s="39"/>
      <c r="E34" s="39" t="str">
        <f>IFERROR(__xludf.DUMMYFUNCTION("GOOGLETRANSLATE(FT!E34,""vi"",""ja"")"),"1.デジタルツール一覧画面へ
2. デジタルツールのズームボタンをクリックします。
3. デジタル ツール ポップアップの外側の領域をクリックします。")</f>
        <v>1.デジタルツール一覧画面へ
2. デジタルツールのズームボタンをクリックします。
3. デジタル ツール ポップアップの外側の領域をクリックします。</v>
      </c>
      <c r="F34" s="39" t="str">
        <f>IFERROR(__xludf.DUMMYFUNCTION("GOOGLETRANSLATE(FT!F34,""vi"",""ja"")"),"3. デジタルツールのズームポップアップを閉じます")</f>
        <v>3. デジタルツールのズームポップアップを閉じます</v>
      </c>
      <c r="G34" s="40" t="s">
        <v>102</v>
      </c>
      <c r="H34" s="41" t="s">
        <v>46</v>
      </c>
      <c r="I34" s="42" t="s">
        <v>667</v>
      </c>
      <c r="J34" s="41" t="s">
        <v>46</v>
      </c>
      <c r="K34" s="50"/>
      <c r="L34" s="42" t="s">
        <v>667</v>
      </c>
      <c r="M34" s="42" t="s">
        <v>667</v>
      </c>
      <c r="N34" s="42" t="s">
        <v>667</v>
      </c>
      <c r="O34" s="51"/>
    </row>
    <row r="35" ht="15.75" customHeight="1">
      <c r="A35" s="38" t="str">
        <f t="shared" si="3"/>
        <v>FT_29</v>
      </c>
      <c r="B35" s="39"/>
      <c r="C35" s="39" t="str">
        <f>IFERROR(__xludf.DUMMYFUNCTION("GOOGLETRANSLATE(FT!C35,""vi"",""ja"")"),"デジタルツールのクリック時/選択解除時にチェックを入れる")</f>
        <v>デジタルツールのクリック時/選択解除時にチェックを入れる</v>
      </c>
      <c r="D35" s="39"/>
      <c r="E35" s="39" t="str">
        <f>IFERROR(__xludf.DUMMYFUNCTION("GOOGLETRANSLATE(FT!E35,""vi"",""ja"")"),"1.デジタルツール一覧画面へ
2. クリックしてデジタルツールを選択します
3. ステップ2でデジタルツールをクリックします")</f>
        <v>1.デジタルツール一覧画面へ
2. クリックしてデジタルツールを選択します
3. ステップ2でデジタルツールをクリックします</v>
      </c>
      <c r="F35" s="39" t="str">
        <f>IFERROR(__xludf.DUMMYFUNCTION("GOOGLETRANSLATE(FT!F35,""vi"",""ja"")"),"2. 選択したデジタル ツールは、画像の周囲の背景に色 #FFCC00 を表示します。 
3. デジタル ツールは #FFCC00 の背景を失い、元の白い背景色が表示されます。")</f>
        <v>2. 選択したデジタル ツールは、画像の周囲の背景に色 #FFCC00 を表示します。 
3. デジタル ツールは #FFCC00 の背景を失い、元の白い背景色が表示されます。</v>
      </c>
      <c r="G35" s="40" t="s">
        <v>45</v>
      </c>
      <c r="H35" s="41" t="s">
        <v>46</v>
      </c>
      <c r="I35" s="42" t="s">
        <v>667</v>
      </c>
      <c r="J35" s="41" t="s">
        <v>46</v>
      </c>
      <c r="K35" s="50"/>
      <c r="L35" s="42" t="s">
        <v>667</v>
      </c>
      <c r="M35" s="42" t="s">
        <v>667</v>
      </c>
      <c r="N35" s="42" t="s">
        <v>667</v>
      </c>
      <c r="O35" s="51"/>
    </row>
    <row r="36" ht="15.75" customHeight="1">
      <c r="A36" s="38" t="str">
        <f t="shared" si="3"/>
        <v>FT_30</v>
      </c>
      <c r="B36" s="39" t="str">
        <f>IFERROR(__xludf.DUMMYFUNCTION("GOOGLETRANSLATE(FT!B36,""vi"",""ja"")"),"リストデジタルが選択されました")</f>
        <v>リストデジタルが選択されました</v>
      </c>
      <c r="C36" s="39" t="str">
        <f>IFERROR(__xludf.DUMMYFUNCTION("GOOGLETRANSLATE(FT!C36,""vi"",""ja"")"),"デジタルツール選択時の確認")</f>
        <v>デジタルツール選択時の確認</v>
      </c>
      <c r="D36" s="39"/>
      <c r="E36" s="39" t="str">
        <f>IFERROR(__xludf.DUMMYFUNCTION("GOOGLETRANSLATE(FT!E36,""vi"",""ja"")"),"1.デジタルツール一覧画面へ
2. クリックしてデジタルツールを選択します
3.「せんたく中のイラストを見る」ボタンをクリックします")</f>
        <v>1.デジタルツール一覧画面へ
2. クリックしてデジタルツールを選択します
3.「せんたく中のイラストを見る」ボタンをクリックします</v>
      </c>
      <c r="F36" s="39" t="str">
        <f>IFERROR(__xludf.DUMMYFUNCTION("GOOGLETRANSLATE(FT!F36,""vi"",""ja"")"),"2. 選択したデジタル ツールは、画像の周囲の背景に色 #FFCC00 を表示します。 
3. 選択したデジタル ツールを含むモーダルを表示します: 位置 1 に 1 つのデジタル ツール。 
選択したデジタルツールがモーダル下の画面に表示されている場合は、step2のようにデジタルツールも表示されます。")</f>
        <v>2. 選択したデジタル ツールは、画像の周囲の背景に色 #FFCC00 を表示します。 
3. 選択したデジタル ツールを含むモーダルを表示します: 位置 1 に 1 つのデジタル ツール。 
選択したデジタルツールがモーダル下の画面に表示されている場合は、step2のようにデジタルツールも表示されます。</v>
      </c>
      <c r="G36" s="40" t="s">
        <v>45</v>
      </c>
      <c r="H36" s="41" t="s">
        <v>46</v>
      </c>
      <c r="I36" s="42" t="s">
        <v>667</v>
      </c>
      <c r="J36" s="41" t="s">
        <v>46</v>
      </c>
      <c r="K36" s="50"/>
      <c r="L36" s="42" t="s">
        <v>667</v>
      </c>
      <c r="M36" s="42" t="s">
        <v>667</v>
      </c>
      <c r="N36" s="42" t="s">
        <v>667</v>
      </c>
      <c r="O36" s="51"/>
    </row>
    <row r="37" ht="15.75" customHeight="1">
      <c r="A37" s="38" t="str">
        <f t="shared" si="3"/>
        <v>FT_31</v>
      </c>
      <c r="B37" s="39"/>
      <c r="C37" s="39"/>
      <c r="D37" s="39"/>
      <c r="E37" s="39" t="str">
        <f>IFERROR(__xludf.DUMMYFUNCTION("GOOGLETRANSLATE(FT!E37,""vi"",""ja"")"),"1.デジタルツール一覧画面へ
2. クリックして 20 個のデジタル ツールを選択します
3.「せんたく中のイラストを見る」ボタンをクリックします")</f>
        <v>1.デジタルツール一覧画面へ
2. クリックして 20 個のデジタル ツールを選択します
3.「せんたく中のイラストを見る」ボタンをクリックします</v>
      </c>
      <c r="F37" s="39" t="str">
        <f>IFERROR(__xludf.DUMMYFUNCTION("GOOGLETRANSLATE(FT!F37,""vi"",""ja"")"),"2. 選択したデジタル ツールは、画像の周囲の背景に黄色で表示されます。 
3. 選択したデジタル ツールを含むモーダルを表示します。1 ～ 20 の位置に 20 個のデジタル ツールが表示されます。 
選択したデジタルツールがモーダル下の画面に表示されている場合は、step2のようにデジタルツールも表示されます。")</f>
        <v>2. 選択したデジタル ツールは、画像の周囲の背景に黄色で表示されます。 
3. 選択したデジタル ツールを含むモーダルを表示します。1 ～ 20 の位置に 20 個のデジタル ツールが表示されます。 
選択したデジタルツールがモーダル下の画面に表示されている場合は、step2のようにデジタルツールも表示されます。</v>
      </c>
      <c r="G37" s="40" t="s">
        <v>45</v>
      </c>
      <c r="H37" s="41" t="s">
        <v>46</v>
      </c>
      <c r="I37" s="42" t="s">
        <v>667</v>
      </c>
      <c r="J37" s="41" t="s">
        <v>46</v>
      </c>
      <c r="K37" s="50"/>
      <c r="L37" s="42" t="s">
        <v>667</v>
      </c>
      <c r="M37" s="42" t="s">
        <v>667</v>
      </c>
      <c r="N37" s="42" t="s">
        <v>667</v>
      </c>
      <c r="O37" s="51"/>
    </row>
    <row r="38" ht="15.75" customHeight="1">
      <c r="A38" s="38" t="str">
        <f t="shared" si="3"/>
        <v>FT_32</v>
      </c>
      <c r="B38" s="39"/>
      <c r="C38" s="39"/>
      <c r="D38" s="39"/>
      <c r="E38" s="39" t="str">
        <f>IFERROR(__xludf.DUMMYFUNCTION("GOOGLETRANSLATE(FT!E38,""vi"",""ja"")"),"1.デジタルツール一覧画面へ
2. クリックして 21 個のデジタル ツールを選択します
3.「せんたく中のイラストを見る」ボタンをクリックします")</f>
        <v>1.デジタルツール一覧画面へ
2. クリックして 21 個のデジタル ツールを選択します
3.「せんたく中のイラストを見る」ボタンをクリックします</v>
      </c>
      <c r="F38" s="39" t="str">
        <f>IFERROR(__xludf.DUMMYFUNCTION("GOOGLETRANSLATE(FT!F38,""vi"",""ja"")"),"2. 21番目のデジタルツールは選択できません
3. 選択したデジタル ツールを含むモーダルを表示します。1 ～ 20 の位置に 20 個のデジタル ツールが表示されます。
選択したデジタルツールがモーダル下の画面に表示されている場合は、step2のようにデジタルツールも表示されます。")</f>
        <v>2. 21番目のデジタルツールは選択できません
3. 選択したデジタル ツールを含むモーダルを表示します。1 ～ 20 の位置に 20 個のデジタル ツールが表示されます。
選択したデジタルツールがモーダル下の画面に表示されている場合は、step2のようにデジタルツールも表示されます。</v>
      </c>
      <c r="G38" s="40" t="s">
        <v>45</v>
      </c>
      <c r="H38" s="41" t="s">
        <v>46</v>
      </c>
      <c r="I38" s="42" t="s">
        <v>667</v>
      </c>
      <c r="J38" s="41" t="s">
        <v>46</v>
      </c>
      <c r="K38" s="50"/>
      <c r="L38" s="42" t="s">
        <v>667</v>
      </c>
      <c r="M38" s="42" t="s">
        <v>667</v>
      </c>
      <c r="N38" s="42" t="s">
        <v>667</v>
      </c>
      <c r="O38" s="51"/>
    </row>
    <row r="39" ht="15.75" customHeight="1">
      <c r="A39" s="38" t="str">
        <f t="shared" si="3"/>
        <v>FT_33</v>
      </c>
      <c r="B39" s="39"/>
      <c r="C39" s="39" t="str">
        <f>IFERROR(__xludf.DUMMYFUNCTION("GOOGLETRANSLATE(FT!C39,""vi"",""ja"")"),"デジタルツールを削除するクリック時にチェックを入れる")</f>
        <v>デジタルツールを削除するクリック時にチェックを入れる</v>
      </c>
      <c r="D39" s="39" t="str">
        <f>IFERROR(__xludf.DUMMYFUNCTION("GOOGLETRANSLATE(FT!D39,""vi"",""ja"")"),"現在 1 つのデジタル ツールが選択されています")</f>
        <v>現在 1 つのデジタル ツールが選択されています</v>
      </c>
      <c r="E39" s="39" t="str">
        <f>IFERROR(__xludf.DUMMYFUNCTION("GOOGLETRANSLATE(FT!E39,""vi"",""ja"")"),"1.デジタルツール一覧画面へ
2. クリックしてデジタルツールを選択します
3.「せんたく中のイラストを見る」ボタンをクリックします
4. デジタルツール番号 1 の削除ボタンをクリックします。")</f>
        <v>1.デジタルツール一覧画面へ
2. クリックしてデジタルツールを選択します
3.「せんたく中のイラストを見る」ボタンをクリックします
4. デジタルツール番号 1 の削除ボタンをクリックします。</v>
      </c>
      <c r="F39" s="39" t="str">
        <f>IFERROR(__xludf.DUMMYFUNCTION("GOOGLETRANSLATE(FT!F39,""vi"",""ja"")"),"4. 選択したデジタル ツールを含むモーダルには、デジタル ツールは残りません。
選択したデジタルツールがモーダルの下の画面に表示されている場合、背景の黄色が失われます")</f>
        <v>4. 選択したデジタル ツールを含むモーダルには、デジタル ツールは残りません。
選択したデジタルツールがモーダルの下の画面に表示されている場合、背景の黄色が失われます</v>
      </c>
      <c r="G39" s="40" t="s">
        <v>45</v>
      </c>
      <c r="H39" s="41" t="s">
        <v>46</v>
      </c>
      <c r="I39" s="42" t="s">
        <v>667</v>
      </c>
      <c r="J39" s="41" t="s">
        <v>46</v>
      </c>
      <c r="K39" s="50"/>
      <c r="L39" s="42" t="s">
        <v>667</v>
      </c>
      <c r="M39" s="42" t="s">
        <v>667</v>
      </c>
      <c r="N39" s="42" t="s">
        <v>667</v>
      </c>
      <c r="O39" s="51"/>
    </row>
    <row r="40" ht="15.75" customHeight="1">
      <c r="A40" s="38" t="str">
        <f t="shared" si="3"/>
        <v>FT_34</v>
      </c>
      <c r="B40" s="39"/>
      <c r="C40" s="39"/>
      <c r="D40" s="39" t="str">
        <f>IFERROR(__xludf.DUMMYFUNCTION("GOOGLETRANSLATE(FT!D40,""vi"",""ja"")"),"20 個のデジタル ツールが選択されています")</f>
        <v>20 個のデジタル ツールが選択されています</v>
      </c>
      <c r="E40" s="39" t="str">
        <f>IFERROR(__xludf.DUMMYFUNCTION("GOOGLETRANSLATE(FT!E40,""vi"",""ja"")"),"1.デジタルツール一覧画面へ
2. クリックしてデジタルツールを選択します
3.「せんたく中のイラストを見る」ボタンをクリックします
4. デジタルツール番号 8 の削除ボタンをクリックします。")</f>
        <v>1.デジタルツール一覧画面へ
2. クリックしてデジタルツールを選択します
3.「せんたく中のイラストを見る」ボタンをクリックします
4. デジタルツール番号 8 の削除ボタンをクリックします。</v>
      </c>
      <c r="F40" s="39" t="str">
        <f>IFERROR(__xludf.DUMMYFUNCTION("GOOGLETRANSLATE(FT!F40,""vi"",""ja"")"),"4. 選択したデジタル ツールを含むモーダル: デジタル ツールは 19 個だけ残っています。番号 9 から 20 までの古いデジタル ツールがマージされ、位置番号 20 は空になります。
選択したデジタルツールがモーダルの下の画面に表示されている場合、背景の黄色が失われます")</f>
        <v>4. 選択したデジタル ツールを含むモーダル: デジタル ツールは 19 個だけ残っています。番号 9 から 20 までの古いデジタル ツールがマージされ、位置番号 20 は空になります。
選択したデジタルツールがモーダルの下の画面に表示されている場合、背景の黄色が失われます</v>
      </c>
      <c r="G40" s="40" t="s">
        <v>45</v>
      </c>
      <c r="H40" s="41" t="s">
        <v>46</v>
      </c>
      <c r="I40" s="42" t="s">
        <v>667</v>
      </c>
      <c r="J40" s="41" t="s">
        <v>46</v>
      </c>
      <c r="K40" s="50"/>
      <c r="L40" s="42" t="s">
        <v>667</v>
      </c>
      <c r="M40" s="42" t="s">
        <v>667</v>
      </c>
      <c r="N40" s="42" t="s">
        <v>667</v>
      </c>
      <c r="O40" s="51"/>
    </row>
    <row r="41" ht="15.75" customHeight="1">
      <c r="A41" s="38" t="str">
        <f t="shared" si="3"/>
        <v>FT_35</v>
      </c>
      <c r="B41" s="39"/>
      <c r="C41" s="39"/>
      <c r="D41" s="39" t="str">
        <f>IFERROR(__xludf.DUMMYFUNCTION("GOOGLETRANSLATE(FT!D41,""vi"",""ja"")"),"20 個のデジタル ツールが選択されています")</f>
        <v>20 個のデジタル ツールが選択されています</v>
      </c>
      <c r="E41" s="39" t="str">
        <f>IFERROR(__xludf.DUMMYFUNCTION("GOOGLETRANSLATE(FT!E41,""vi"",""ja"")"),"1.デジタルツール一覧画面へ
2. クリックしてデジタルツールを選択します
3.「せんたく中のイラストを見る」ボタンをクリックします
4. デジタルツール番号 20 の削除ボタンをクリックします。")</f>
        <v>1.デジタルツール一覧画面へ
2. クリックしてデジタルツールを選択します
3.「せんたく中のイラストを見る」ボタンをクリックします
4. デジタルツール番号 20 の削除ボタンをクリックします。</v>
      </c>
      <c r="F41" s="39" t="str">
        <f>IFERROR(__xludf.DUMMYFUNCTION("GOOGLETRANSLATE(FT!F41,""vi"",""ja"")"),"4. 選択したデジタル ツールを含むモーダル上: デジタル ツールは 19 個だけ残っています。位置番号 20 は削除されているため空になります。
選択したデジタルツールがモーダルの下の画面に表示されている場合、背景の黄色が失われます")</f>
        <v>4. 選択したデジタル ツールを含むモーダル上: デジタル ツールは 19 個だけ残っています。位置番号 20 は削除されているため空になります。
選択したデジタルツールがモーダルの下の画面に表示されている場合、背景の黄色が失われます</v>
      </c>
      <c r="G41" s="40" t="s">
        <v>45</v>
      </c>
      <c r="H41" s="41" t="s">
        <v>46</v>
      </c>
      <c r="I41" s="42" t="s">
        <v>667</v>
      </c>
      <c r="J41" s="41" t="s">
        <v>46</v>
      </c>
      <c r="K41" s="50"/>
      <c r="L41" s="42" t="s">
        <v>667</v>
      </c>
      <c r="M41" s="42" t="s">
        <v>667</v>
      </c>
      <c r="N41" s="42" t="s">
        <v>667</v>
      </c>
      <c r="O41" s="51"/>
    </row>
    <row r="42" ht="15.75" customHeight="1">
      <c r="A42" s="38" t="str">
        <f t="shared" si="3"/>
        <v>FT_36</v>
      </c>
      <c r="B42" s="39"/>
      <c r="C42" s="39" t="str">
        <f>IFERROR(__xludf.DUMMYFUNCTION("GOOGLETRANSLATE(FT!C42,""vi"",""ja"")"),"チェックボタン×モーダルをクリック")</f>
        <v>チェックボタン×モーダルをクリック</v>
      </c>
      <c r="D42" s="39"/>
      <c r="E42" s="39" t="str">
        <f>IFERROR(__xludf.DUMMYFUNCTION("GOOGLETRANSLATE(FT!E42,""vi"",""ja"")"),"1.デジタルツール一覧画面へ
2. クリックしてデジタルツールを選択します
3.「せんたく中のイラストを見る」ボタンをクリックします
4. モーダルの右隅にある [x] ボタンをクリックします。")</f>
        <v>1.デジタルツール一覧画面へ
2. クリックしてデジタルツールを選択します
3.「せんたく中のイラストを見る」ボタンをクリックします
4. モーダルの右隅にある [x] ボタンをクリックします。</v>
      </c>
      <c r="F42" s="39" t="str">
        <f>IFERROR(__xludf.DUMMYFUNCTION("GOOGLETRANSLATE(FT!F42,""vi"",""ja"")"),"4. モーダルを閉じます。選択したデジタルリストは変更されません。")</f>
        <v>4. モーダルを閉じます。選択したデジタルリストは変更されません。</v>
      </c>
      <c r="G42" s="40" t="s">
        <v>102</v>
      </c>
      <c r="H42" s="41" t="s">
        <v>46</v>
      </c>
      <c r="I42" s="42" t="s">
        <v>667</v>
      </c>
      <c r="J42" s="41" t="s">
        <v>46</v>
      </c>
      <c r="K42" s="50"/>
      <c r="L42" s="42" t="s">
        <v>667</v>
      </c>
      <c r="M42" s="42" t="s">
        <v>667</v>
      </c>
      <c r="N42" s="42" t="s">
        <v>667</v>
      </c>
      <c r="O42" s="51"/>
    </row>
    <row r="43" ht="15.75" customHeight="1">
      <c r="A43" s="38" t="str">
        <f t="shared" si="3"/>
        <v>FT_37</v>
      </c>
      <c r="B43" s="39"/>
      <c r="C43" s="39" t="str">
        <f>IFERROR(__xludf.DUMMYFUNCTION("GOOGLETRANSLATE(FT!C43,""vi"",""ja"")"),"リスト表示領域外のクリックを確認する")</f>
        <v>リスト表示領域外のクリックを確認する</v>
      </c>
      <c r="D43" s="39"/>
      <c r="E43" s="39" t="str">
        <f>IFERROR(__xludf.DUMMYFUNCTION("GOOGLETRANSLATE(FT!E43,""vi"",""ja"")"),"1.デジタルツール一覧画面へ
2. クリックしてデジタルツールを選択します
3.「せんたく中のイラストを見る」ボタンをクリックします
4. モーダル表示領域の外側をクリックします")</f>
        <v>1.デジタルツール一覧画面へ
2. クリックしてデジタルツールを選択します
3.「せんたく中のイラストを見る」ボタンをクリックします
4. モーダル表示領域の外側をクリックします</v>
      </c>
      <c r="F43" s="39" t="str">
        <f>IFERROR(__xludf.DUMMYFUNCTION("GOOGLETRANSLATE(FT!F43,""vi"",""ja"")"),"4. モーダルを閉じます。選択したデジタルリストは変更されません。")</f>
        <v>4. モーダルを閉じます。選択したデジタルリストは変更されません。</v>
      </c>
      <c r="G43" s="40" t="s">
        <v>102</v>
      </c>
      <c r="H43" s="41" t="s">
        <v>46</v>
      </c>
      <c r="I43" s="42" t="s">
        <v>667</v>
      </c>
      <c r="J43" s="41" t="s">
        <v>46</v>
      </c>
      <c r="K43" s="50"/>
      <c r="L43" s="42" t="s">
        <v>667</v>
      </c>
      <c r="M43" s="42" t="s">
        <v>667</v>
      </c>
      <c r="N43" s="42" t="s">
        <v>667</v>
      </c>
      <c r="O43" s="51"/>
    </row>
    <row r="44" ht="15.75" customHeight="1">
      <c r="A44" s="38" t="str">
        <f t="shared" si="3"/>
        <v>FT_38</v>
      </c>
      <c r="B44" s="39" t="str">
        <f>IFERROR(__xludf.DUMMYFUNCTION("GOOGLETRANSLATE(FT!B44,""vi"",""ja"")"),"ページングを確認する")</f>
        <v>ページングを確認する</v>
      </c>
      <c r="C44" s="39" t="str">
        <f>IFERROR(__xludf.DUMMYFUNCTION("GOOGLETRANSLATE(FT!C44,""vi"",""ja"")"),"1ページの場合は確認してください")</f>
        <v>1ページの場合は確認してください</v>
      </c>
      <c r="D44" s="39" t="str">
        <f>IFERROR(__xludf.DUMMYFUNCTION("GOOGLETRANSLATE(FT!D44,""vi"",""ja"")"),"デジタル ツールの数は 30 個以下です
1行あたりのデジタルツールの数は10です")</f>
        <v>デジタル ツールの数は 30 個以下です
1行あたりのデジタルツールの数は10です</v>
      </c>
      <c r="E44" s="39" t="str">
        <f>IFERROR(__xludf.DUMMYFUNCTION("GOOGLETRANSLATE(FT!E44,""vi"",""ja"")"),"1. プリコンディショニング中のデータでデジタルツール一覧画面に移動します
2.ページング表示を確認する")</f>
        <v>1. プリコンディショニング中のデータでデジタルツール一覧画面に移動します
2.ページング表示を確認する</v>
      </c>
      <c r="F44" s="72" t="str">
        <f>IFERROR(__xludf.DUMMYFUNCTION("GOOGLETRANSLATE(FT!F44,""vi"",""ja"")"),"2. デザインとして表示: &lt;&lt; &lt; 1 2 3 4 5 &gt; &gt;&gt;
&lt;&lt;、&lt;、2、3、4、5 、 &gt; 、&gt;&gt; ボタンはすべて非アクティブです")</f>
        <v>2. デザインとして表示: &lt;&lt; &lt; 1 2 3 4 5 &gt; &gt;&gt;
&lt;&lt;、&lt;、2、3、4、5 、 &gt; 、&gt;&gt; ボタンはすべて非アクティブです</v>
      </c>
      <c r="G44" s="40" t="s">
        <v>45</v>
      </c>
      <c r="H44" s="41" t="s">
        <v>46</v>
      </c>
      <c r="I44" s="42" t="s">
        <v>667</v>
      </c>
      <c r="J44" s="41" t="s">
        <v>46</v>
      </c>
      <c r="K44" s="42"/>
      <c r="L44" s="42" t="s">
        <v>667</v>
      </c>
      <c r="M44" s="42" t="s">
        <v>667</v>
      </c>
      <c r="N44" s="42" t="s">
        <v>667</v>
      </c>
      <c r="O44" s="43"/>
    </row>
    <row r="45" ht="15.75" customHeight="1">
      <c r="A45" s="38" t="str">
        <f t="shared" si="3"/>
        <v>FT_39</v>
      </c>
      <c r="B45" s="39"/>
      <c r="C45" s="39"/>
      <c r="D45" s="39" t="str">
        <f>IFERROR(__xludf.DUMMYFUNCTION("GOOGLETRANSLATE(FT!D45,""vi"",""ja"")"),"デジタル ツールの数は 30 個以下です
1行あたりのデジタルツールの数は6です")</f>
        <v>デジタル ツールの数は 30 個以下です
1行あたりのデジタルツールの数は6です</v>
      </c>
      <c r="E45" s="39" t="str">
        <f>IFERROR(__xludf.DUMMYFUNCTION("GOOGLETRANSLATE(FT!E45,""vi"",""ja"")"),"1. プリコンディショニング中のデータでデジタルツール一覧画面に移動します
2.ページング表示を確認する")</f>
        <v>1. プリコンディショニング中のデータでデジタルツール一覧画面に移動します
2.ページング表示を確認する</v>
      </c>
      <c r="F45" s="39" t="str">
        <f>IFERROR(__xludf.DUMMYFUNCTION("GOOGLETRANSLATE(FT!F45,""vi"",""ja"")"),"2. デザインとして表示: &lt;&lt; &lt; 1 2 3 4 5 &gt; &gt;&gt;
&lt;&lt;、&lt;、2、3、4、5 、 &gt; 、&gt;&gt; ボタンはすべて非アクティブです
- 応答は 1 行あたり 6 桁に削減されるため、レコード数が 18 を超える場合は、十分に表示するために下にスクロールする必要があります。")</f>
        <v>2. デザインとして表示: &lt;&lt; &lt; 1 2 3 4 5 &gt; &gt;&gt;
&lt;&lt;、&lt;、2、3、4、5 、 &gt; 、&gt;&gt; ボタンはすべて非アクティブです
- 応答は 1 行あたり 6 桁に削減されるため、レコード数が 18 を超える場合は、十分に表示するために下にスクロールする必要があります。</v>
      </c>
      <c r="G45" s="40" t="s">
        <v>45</v>
      </c>
      <c r="H45" s="41" t="s">
        <v>46</v>
      </c>
      <c r="I45" s="42" t="s">
        <v>667</v>
      </c>
      <c r="J45" s="41" t="s">
        <v>46</v>
      </c>
      <c r="K45" s="42"/>
      <c r="L45" s="42" t="s">
        <v>667</v>
      </c>
      <c r="M45" s="42" t="s">
        <v>667</v>
      </c>
      <c r="N45" s="42" t="s">
        <v>667</v>
      </c>
      <c r="O45" s="43"/>
    </row>
    <row r="46" ht="15.75" customHeight="1">
      <c r="A46" s="38" t="str">
        <f t="shared" si="3"/>
        <v>FT_40</v>
      </c>
      <c r="B46" s="39"/>
      <c r="C46" s="39" t="str">
        <f>IFERROR(__xludf.DUMMYFUNCTION("GOOGLETRANSLATE(FT!C46,""vi"",""ja"")"),"5ページになったらチェック ")</f>
        <v>5ページになったらチェック </v>
      </c>
      <c r="D46" s="39" t="str">
        <f>IFERROR(__xludf.DUMMYFUNCTION("GOOGLETRANSLATE(FT!D46,""vi"",""ja"")"),"デジタル ツールの数は 121&lt; x &lt;=150 の範囲内です
現在1ページ目です")</f>
        <v>デジタル ツールの数は 121&lt; x &lt;=150 の範囲内です
現在1ページ目です</v>
      </c>
      <c r="E46" s="39" t="str">
        <f>IFERROR(__xludf.DUMMYFUNCTION("GOOGLETRANSLATE(FT!E46,""vi"",""ja"")"),"1. プリコンディショニング中のデータでデジタルツール一覧画面に移動します
2.ページング表示を確認する
3. クリックして5ページ目へ =&gt; ページング表示を確認する")</f>
        <v>1. プリコンディショニング中のデータでデジタルツール一覧画面に移動します
2.ページング表示を確認する
3. クリックして5ページ目へ =&gt; ページング表示を確認する</v>
      </c>
      <c r="F46" s="39" t="str">
        <f>IFERROR(__xludf.DUMMYFUNCTION("GOOGLETRANSLATE(FT!F46,""vi"",""ja"")"),"2. デザインとして表示: &lt;&lt; &lt; 1 2 3 4 5 &gt; &gt;&gt;
そこには： 
- &lt;&lt;、&lt; ボタンは無効になります
- 現在フォーカスされているページ 1 は白いボタンとして表示されます
- ボタン 2、3、4、5、&gt;、&gt;&gt; 有効をクリック可能
3. 現在フォーカスされているページ 5 は白いボタンとして表示されます。
ボタン &lt;&lt;、&lt;、1、2、3、4 はすべて有効でクリック可能です
&gt;、&gt;&gt;ボタンが無効になります")</f>
        <v>2. デザインとして表示: &lt;&lt; &lt; 1 2 3 4 5 &gt; &gt;&gt;
そこには： 
- &lt;&lt;、&lt; ボタンは無効になります
- 現在フォーカスされているページ 1 は白いボタンとして表示されます
- ボタン 2、3、4、5、&gt;、&gt;&gt; 有効をクリック可能
3. 現在フォーカスされているページ 5 は白いボタンとして表示されます。
ボタン &lt;&lt;、&lt;、1、2、3、4 はすべて有効でクリック可能です
&gt;、&gt;&gt;ボタンが無効になります</v>
      </c>
      <c r="G46" s="40" t="s">
        <v>45</v>
      </c>
      <c r="H46" s="41" t="s">
        <v>46</v>
      </c>
      <c r="I46" s="42" t="s">
        <v>667</v>
      </c>
      <c r="J46" s="41" t="s">
        <v>46</v>
      </c>
      <c r="K46" s="42"/>
      <c r="L46" s="42" t="s">
        <v>667</v>
      </c>
      <c r="M46" s="42" t="s">
        <v>667</v>
      </c>
      <c r="N46" s="42" t="s">
        <v>667</v>
      </c>
      <c r="O46" s="43"/>
    </row>
    <row r="47" ht="15.75" customHeight="1">
      <c r="A47" s="38" t="str">
        <f t="shared" si="3"/>
        <v>FT_41</v>
      </c>
      <c r="B47" s="39"/>
      <c r="C47" s="39" t="str">
        <f>IFERROR(__xludf.DUMMYFUNCTION("GOOGLETRANSLATE(FT!C47,""vi"",""ja"")"),"5ページ以上ある場合は確認してください")</f>
        <v>5ページ以上ある場合は確認してください</v>
      </c>
      <c r="D47" s="39" t="str">
        <f>IFERROR(__xludf.DUMMYFUNCTION("GOOGLETRANSLATE(FT!D47,""vi"",""ja"")"),"デジタル ツールの数は 121&lt; x &lt;=150 の範囲内です
現在5ページ目")</f>
        <v>デジタル ツールの数は 121&lt; x &lt;=150 の範囲内です
現在5ページ目</v>
      </c>
      <c r="E47" s="39" t="str">
        <f>IFERROR(__xludf.DUMMYFUNCTION("GOOGLETRANSLATE(FT!E47,""vi"",""ja"")"),"1. プリコンディショニング中のデータでデジタルツール一覧画面に移動します
2.ページング表示を確認する")</f>
        <v>1. プリコンディショニング中のデータでデジタルツール一覧画面に移動します
2.ページング表示を確認する</v>
      </c>
      <c r="F47" s="39" t="str">
        <f>IFERROR(__xludf.DUMMYFUNCTION("GOOGLETRANSLATE(FT!F47,""vi"",""ja"")"),"2. デザインとして表示: &lt;&lt; &lt; 1 2 3 4 5 &gt; &gt;&gt;
そこには： 
- 現在フォーカスされているページ 5 は白いボタンとして表示されます
- すべてのボタンをクリック可能")</f>
        <v>2. デザインとして表示: &lt;&lt; &lt; 1 2 3 4 5 &gt; &gt;&gt;
そこには： 
- 現在フォーカスされているページ 5 は白いボタンとして表示されます
- すべてのボタンをクリック可能</v>
      </c>
      <c r="G47" s="40" t="s">
        <v>45</v>
      </c>
      <c r="H47" s="41" t="s">
        <v>46</v>
      </c>
      <c r="I47" s="42" t="s">
        <v>667</v>
      </c>
      <c r="J47" s="41" t="s">
        <v>46</v>
      </c>
      <c r="K47" s="42"/>
      <c r="L47" s="42" t="s">
        <v>667</v>
      </c>
      <c r="M47" s="42" t="s">
        <v>667</v>
      </c>
      <c r="N47" s="42" t="s">
        <v>667</v>
      </c>
      <c r="O47" s="43"/>
    </row>
    <row r="48" ht="15.75" customHeight="1">
      <c r="A48" s="38" t="str">
        <f t="shared" si="3"/>
        <v>FT_42</v>
      </c>
      <c r="B48" s="39"/>
      <c r="C48" s="39" t="str">
        <f>IFERROR(__xludf.DUMMYFUNCTION("GOOGLETRANSLATE(FT!C48,""vi"",""ja"")"),"ページ切り替えのクリックを確認する")</f>
        <v>ページ切り替えのクリックを確認する</v>
      </c>
      <c r="D48" s="39" t="str">
        <f>IFERROR(__xludf.DUMMYFUNCTION("GOOGLETRANSLATE(FT!D48,""vi"",""ja"")"),"ページ数が 1 を超えています
現在1ページ目です")</f>
        <v>ページ数が 1 を超えています
現在1ページ目です</v>
      </c>
      <c r="E48" s="39" t="str">
        <f>IFERROR(__xludf.DUMMYFUNCTION("GOOGLETRANSLATE(FT!E48,""vi"",""ja"")"),"1. プリコンディショニング中のデータでデジタルツール一覧画面に移動します
2. クリックして途中のページに遷移 =&gt; ページング表示を確認
3. クリックして最終ページへ移動 =&gt; ページング表示を確認")</f>
        <v>1. プリコンディショニング中のデータでデジタルツール一覧画面に移動します
2. クリックして途中のページに遷移 =&gt; ページング表示を確認
3. クリックして最終ページへ移動 =&gt; ページング表示を確認</v>
      </c>
      <c r="F48" s="39" t="str">
        <f>IFERROR(__xludf.DUMMYFUNCTION("GOOGLETRANSLATE(FT!F48,""vi"",""ja"")"),"2. クリックしたページに素早く切り替え、データデジタルツールは正しいデータを表示します 
- すべてのボタンが有効になります 
3. クリックしたページに素早く切り替えると、データデジタルツールが正しいデータを表示します。           
- フォーカスされたページは白いボタンとして表示されます 
- 2 つのボタン &gt;、&gt;&gt; が無効になります 
- &lt;、&lt;&lt;、および最終ページより前のページのボタンが有効になります")</f>
        <v>2. クリックしたページに素早く切り替え、データデジタルツールは正しいデータを表示します 
- すべてのボタンが有効になります 
3. クリックしたページに素早く切り替えると、データデジタルツールが正しいデータを表示します。           
- フォーカスされたページは白いボタンとして表示されます 
- 2 つのボタン &gt;、&gt;&gt; が無効になります 
- &lt;、&lt;&lt;、および最終ページより前のページのボタンが有効になります</v>
      </c>
      <c r="G48" s="40" t="s">
        <v>45</v>
      </c>
      <c r="H48" s="41" t="s">
        <v>46</v>
      </c>
      <c r="I48" s="42" t="s">
        <v>667</v>
      </c>
      <c r="J48" s="41" t="s">
        <v>46</v>
      </c>
      <c r="K48" s="42"/>
      <c r="L48" s="42" t="s">
        <v>667</v>
      </c>
      <c r="M48" s="42" t="s">
        <v>667</v>
      </c>
      <c r="N48" s="42" t="s">
        <v>667</v>
      </c>
      <c r="O48" s="43"/>
    </row>
    <row r="49" ht="15.75" customHeight="1">
      <c r="A49" s="38" t="str">
        <f t="shared" si="3"/>
        <v>FT_43</v>
      </c>
      <c r="B49" s="39"/>
      <c r="C49" s="39" t="str">
        <f>IFERROR(__xludf.DUMMYFUNCTION("GOOGLETRANSLATE(FT!C49,""vi"",""ja"")"),"チェックボタンをクリック &lt;,&gt; ")</f>
        <v>チェックボタンをクリック &lt;,&gt; </v>
      </c>
      <c r="D49" s="39" t="str">
        <f>IFERROR(__xludf.DUMMYFUNCTION("GOOGLETRANSLATE(FT!D49,""vi"",""ja"")"),"ページ数が 1 を超えています
現在1ページ目です")</f>
        <v>ページ数が 1 を超えています
現在1ページ目です</v>
      </c>
      <c r="E49" s="39" t="str">
        <f>IFERROR(__xludf.DUMMYFUNCTION("GOOGLETRANSLATE(FT!E49,""vi"",""ja"")"),"1. プリコンディショニング中のデータでデジタルツール一覧画面に移動します
2. ボタンをクリック &gt; =&gt; ページング表示を確認する
3. &lt; =&gt; ボタンをクリックしてページング表示を確認します")</f>
        <v>1. プリコンディショニング中のデータでデジタルツール一覧画面に移動します
2. ボタンをクリック &gt; =&gt; ページング表示を確認する
3. &lt; =&gt; ボタンをクリックしてページング表示を確認します</v>
      </c>
      <c r="F49" s="39" t="str">
        <f>IFERROR(__xludf.DUMMYFUNCTION("GOOGLETRANSLATE(FT!F49,""vi"",""ja"")"),"2. 2 ページに移動します
3. 1 ページに移動します")</f>
        <v>2. 2 ページに移動します
3. 1 ページに移動します</v>
      </c>
      <c r="G49" s="40" t="s">
        <v>45</v>
      </c>
      <c r="H49" s="41" t="s">
        <v>46</v>
      </c>
      <c r="I49" s="42" t="s">
        <v>667</v>
      </c>
      <c r="J49" s="41" t="s">
        <v>46</v>
      </c>
      <c r="K49" s="42"/>
      <c r="L49" s="42" t="s">
        <v>667</v>
      </c>
      <c r="M49" s="42" t="s">
        <v>667</v>
      </c>
      <c r="N49" s="42" t="s">
        <v>667</v>
      </c>
      <c r="O49" s="43"/>
    </row>
    <row r="50" ht="15.75" customHeight="1">
      <c r="A50" s="38" t="str">
        <f t="shared" si="3"/>
        <v>FT_44</v>
      </c>
      <c r="B50" s="39"/>
      <c r="C50" s="39" t="str">
        <f>IFERROR(__xludf.DUMMYFUNCTION("GOOGLETRANSLATE(FT!C50,""vi"",""ja"")"),"チェックボタンクリック&lt;&lt;,&gt;&gt;")</f>
        <v>チェックボタンクリック&lt;&lt;,&gt;&gt;</v>
      </c>
      <c r="D50" s="39" t="str">
        <f>IFERROR(__xludf.DUMMYFUNCTION("GOOGLETRANSLATE(FT!D50,""vi"",""ja"")"),"ページ数は5です
現在1ページ目です")</f>
        <v>ページ数は5です
現在1ページ目です</v>
      </c>
      <c r="E50" s="39" t="str">
        <f>IFERROR(__xludf.DUMMYFUNCTION("GOOGLETRANSLATE(FT!E50,""vi"",""ja"")"),"1. プリコンディショニング中のデータでデジタルツール一覧画面に移動します
2. ボタンをクリック &gt;&gt; =&gt; ページング表示を確認する
3. &lt;&lt;=&gt; ボタンをクリックしてページング表示を確認します。")</f>
        <v>1. プリコンディショニング中のデータでデジタルツール一覧画面に移動します
2. ボタンをクリック &gt;&gt; =&gt; ページング表示を確認する
3. &lt;&lt;=&gt; ボタンをクリックしてページング表示を確認します。</v>
      </c>
      <c r="F50" s="39" t="str">
        <f>IFERROR(__xludf.DUMMYFUNCTION("GOOGLETRANSLATE(FT!F50,""vi"",""ja"")"),"2. 5ページへ
3. 1 ページに移動します")</f>
        <v>2. 5ページへ
3. 1 ページに移動します</v>
      </c>
      <c r="G50" s="40" t="s">
        <v>45</v>
      </c>
      <c r="H50" s="41" t="s">
        <v>46</v>
      </c>
      <c r="I50" s="42" t="s">
        <v>667</v>
      </c>
      <c r="J50" s="41" t="s">
        <v>46</v>
      </c>
      <c r="K50" s="42"/>
      <c r="L50" s="42" t="s">
        <v>667</v>
      </c>
      <c r="M50" s="42" t="s">
        <v>667</v>
      </c>
      <c r="N50" s="42" t="s">
        <v>667</v>
      </c>
      <c r="O50" s="43"/>
    </row>
    <row r="51" ht="15.75" customHeight="1">
      <c r="A51" s="38" t="str">
        <f t="shared" si="3"/>
        <v>FT_45</v>
      </c>
      <c r="B51" s="39"/>
      <c r="C51" s="39"/>
      <c r="D51" s="39" t="str">
        <f>IFERROR(__xludf.DUMMYFUNCTION("GOOGLETRANSLATE(FT!D51,""vi"",""ja"")"),"ページ数が 5 を超えています
現在1ページ目です")</f>
        <v>ページ数が 5 を超えています
現在1ページ目です</v>
      </c>
      <c r="E51" s="39" t="str">
        <f>IFERROR(__xludf.DUMMYFUNCTION("GOOGLETRANSLATE(FT!E51,""vi"",""ja"")"),"1. プリコンディショニング中のデータでデジタルツール一覧画面に移動します
2. ボタンをクリック &gt;&gt; =&gt; ページング表示を確認する
3. &lt;&lt; =&gt; ボタンをクリックしてページング表示を確認します。")</f>
        <v>1. プリコンディショニング中のデータでデジタルツール一覧画面に移動します
2. ボタンをクリック &gt;&gt; =&gt; ページング表示を確認する
3. &lt;&lt; =&gt; ボタンをクリックしてページング表示を確認します。</v>
      </c>
      <c r="F51" s="39" t="str">
        <f>IFERROR(__xludf.DUMMYFUNCTION("GOOGLETRANSLATE(FT!F51,""vi"",""ja"")"),"2. 最後のページに移動します 
3. 1 ページに移動します")</f>
        <v>2. 最後のページに移動します 
3. 1 ページに移動します</v>
      </c>
      <c r="G51" s="40" t="s">
        <v>45</v>
      </c>
      <c r="H51" s="41" t="s">
        <v>46</v>
      </c>
      <c r="I51" s="42" t="s">
        <v>667</v>
      </c>
      <c r="J51" s="41" t="s">
        <v>46</v>
      </c>
      <c r="K51" s="42"/>
      <c r="L51" s="42" t="s">
        <v>667</v>
      </c>
      <c r="M51" s="42" t="s">
        <v>667</v>
      </c>
      <c r="N51" s="42" t="s">
        <v>667</v>
      </c>
      <c r="O51" s="43"/>
    </row>
    <row r="52" ht="15.75" customHeight="1">
      <c r="A52" s="38" t="str">
        <f t="shared" si="3"/>
        <v>FT_46</v>
      </c>
      <c r="B52" s="39" t="str">
        <f>IFERROR(__xludf.DUMMYFUNCTION("GOOGLETRANSLATE(FT!B52,""vi"",""ja"")"),"キーワードで探す")</f>
        <v>キーワードで探す</v>
      </c>
      <c r="C52" s="39" t="str">
        <f>IFERROR(__xludf.DUMMYFUNCTION("GOOGLETRANSLATE(FT!C52,""vi"",""ja"")"),"検索テキストボックスにテキストを入力することを確認します")</f>
        <v>検索テキストボックスにテキストを入力することを確認します</v>
      </c>
      <c r="D52" s="39" t="str">
        <f>IFERROR(__xludf.DUMMYFUNCTION("GOOGLETRANSLATE(FT!D52,""vi"",""ja"")"),"何も入力しない")</f>
        <v>何も入力しない</v>
      </c>
      <c r="E52" s="39" t="str">
        <f>IFERROR(__xludf.DUMMYFUNCTION("GOOGLETRANSLATE(FT!E52,""vi"",""ja"")"),"1.デジタルツール一覧画面へ
2. 検索テキストボックスにキーワードを入力しないでください。
3.「さがす」ボタンをクリック")</f>
        <v>1.デジタルツール一覧画面へ
2. 検索テキストボックスにキーワードを入力しないでください。
3.「さがす」ボタンをクリック</v>
      </c>
      <c r="F52" s="39" t="str">
        <f>IFERROR(__xludf.DUMMYFUNCTION("GOOGLETRANSLATE(FT!F52,""vi"",""ja"")"),"3. 同じデジタルツールのリストで表示: カテゴリリストと [教科書・学年] を含む")</f>
        <v>3. 同じデジタルツールのリストで表示: カテゴリリストと [教科書・学年] を含む</v>
      </c>
      <c r="G52" s="40" t="s">
        <v>45</v>
      </c>
      <c r="H52" s="41" t="s">
        <v>46</v>
      </c>
      <c r="I52" s="42" t="s">
        <v>667</v>
      </c>
      <c r="J52" s="41" t="s">
        <v>46</v>
      </c>
      <c r="K52" s="42"/>
      <c r="L52" s="42" t="s">
        <v>667</v>
      </c>
      <c r="M52" s="42" t="s">
        <v>667</v>
      </c>
      <c r="N52" s="42" t="s">
        <v>667</v>
      </c>
      <c r="O52" s="43"/>
    </row>
    <row r="53" ht="15.75" customHeight="1">
      <c r="A53" s="38" t="str">
        <f t="shared" si="3"/>
        <v>FT_47</v>
      </c>
      <c r="B53" s="39"/>
      <c r="C53" s="39"/>
      <c r="D53" s="39" t="str">
        <f>IFERROR(__xludf.DUMMYFUNCTION("GOOGLETRANSLATE(FT!D53,""vi"",""ja"")"),"&lt;=20 文字")</f>
        <v>&lt;=20 文字</v>
      </c>
      <c r="E53" s="39" t="str">
        <f>IFERROR(__xludf.DUMMYFUNCTION("GOOGLETRANSLATE(FT!E53,""vi"",""ja"")"),"1.デジタルツール一覧画面へ
2. テキストボックスに 20 文字以下のキーワードを入力します 
3.「さがす」ボタンをクリック")</f>
        <v>1.デジタルツール一覧画面へ
2. テキストボックスに 20 文字以下のキーワードを入力します 
3.「さがす」ボタンをクリック</v>
      </c>
      <c r="F53" s="72" t="str">
        <f>IFERROR(__xludf.DUMMYFUNCTION("GOOGLETRANSLATE(FT!F53,""vi"",""ja"")"),"3. 入力したキーワードに該当する結果を表示")</f>
        <v>3. 入力したキーワードに該当する結果を表示</v>
      </c>
      <c r="G53" s="40" t="s">
        <v>45</v>
      </c>
      <c r="H53" s="41" t="s">
        <v>46</v>
      </c>
      <c r="I53" s="42" t="s">
        <v>667</v>
      </c>
      <c r="J53" s="41" t="s">
        <v>46</v>
      </c>
      <c r="K53" s="42"/>
      <c r="L53" s="42" t="s">
        <v>667</v>
      </c>
      <c r="M53" s="42" t="s">
        <v>667</v>
      </c>
      <c r="N53" s="42" t="s">
        <v>667</v>
      </c>
      <c r="O53" s="43"/>
    </row>
    <row r="54" ht="15.75" customHeight="1">
      <c r="A54" s="38" t="str">
        <f t="shared" si="3"/>
        <v>FT_48</v>
      </c>
      <c r="B54" s="39"/>
      <c r="C54" s="39"/>
      <c r="D54" s="39" t="str">
        <f>IFERROR(__xludf.DUMMYFUNCTION("GOOGLETRANSLATE(FT!D54,""vi"",""ja"")"),"20 文字以上")</f>
        <v>20 文字以上</v>
      </c>
      <c r="E54" s="39" t="str">
        <f>IFERROR(__xludf.DUMMYFUNCTION("GOOGLETRANSLATE(FT!E54,""vi"",""ja"")"),"1.デジタルツール一覧画面へ
2. テキストボックスに 20 文字を超えるキーワードを入力します ")</f>
        <v>1.デジタルツール一覧画面へ
2. テキストボックスに 20 文字を超えるキーワードを入力します </v>
      </c>
      <c r="F54" s="72" t="str">
        <f>IFERROR(__xludf.DUMMYFUNCTION("GOOGLETRANSLATE(FT!F54,""vi"",""ja"")"),"2.インポートできない")</f>
        <v>2.インポートできない</v>
      </c>
      <c r="G54" s="40" t="s">
        <v>45</v>
      </c>
      <c r="H54" s="41" t="s">
        <v>46</v>
      </c>
      <c r="I54" s="42" t="s">
        <v>667</v>
      </c>
      <c r="J54" s="41" t="s">
        <v>46</v>
      </c>
      <c r="K54" s="42"/>
      <c r="L54" s="70" t="s">
        <v>667</v>
      </c>
      <c r="M54" s="70" t="s">
        <v>667</v>
      </c>
      <c r="N54" s="70" t="s">
        <v>667</v>
      </c>
      <c r="O54" s="43"/>
    </row>
    <row r="55" ht="15.75" customHeight="1">
      <c r="A55" s="38" t="str">
        <f t="shared" si="3"/>
        <v>FT_49</v>
      </c>
      <c r="B55" s="39"/>
      <c r="C55" s="39"/>
      <c r="D55" s="39"/>
      <c r="E55" s="39" t="str">
        <f>IFERROR(__xludf.DUMMYFUNCTION("GOOGLETRANSLATE(FT!E55,""vi"",""ja"")"),"1.デジタルツール一覧画面へ
2. すべてのデジタルツールの名前やキーワードに含まれていないキーワードをテキストボックスに入力します")</f>
        <v>1.デジタルツール一覧画面へ
2. すべてのデジタルツールの名前やキーワードに含まれていないキーワードをテキストボックスに入力します</v>
      </c>
      <c r="F55" s="39" t="str">
        <f>IFERROR(__xludf.DUMMYFUNCTION("GOOGLETRANSLATE(FT!F55,""vi"",""ja"")"),"2. 白い画面を表示する")</f>
        <v>2. 白い画面を表示する</v>
      </c>
      <c r="G55" s="40" t="s">
        <v>102</v>
      </c>
      <c r="H55" s="41" t="s">
        <v>46</v>
      </c>
      <c r="I55" s="42" t="s">
        <v>667</v>
      </c>
      <c r="J55" s="41" t="s">
        <v>46</v>
      </c>
      <c r="K55" s="42"/>
      <c r="L55" s="42" t="s">
        <v>667</v>
      </c>
      <c r="M55" s="42" t="s">
        <v>667</v>
      </c>
      <c r="N55" s="42" t="s">
        <v>667</v>
      </c>
      <c r="O55" s="43"/>
    </row>
    <row r="56" ht="15.75" customHeight="1">
      <c r="A56" s="38" t="str">
        <f t="shared" si="3"/>
        <v>FT_50</v>
      </c>
      <c r="B56" s="39"/>
      <c r="C56" s="39" t="str">
        <f>IFERROR(__xludf.DUMMYFUNCTION("GOOGLETRANSLATE(FT!C56,""vi"",""ja"")"),"イメージ名で検索が成功したかどうかを確認します")</f>
        <v>イメージ名で検索が成功したかどうかを確認します</v>
      </c>
      <c r="D56" s="39" t="str">
        <f>IFERROR(__xludf.DUMMYFUNCTION("GOOGLETRANSLATE(FT!D56,""vi"",""ja"")"),"1.「ゆきだま」というカテゴリーのデジタルツールを作成します。
2. ごむだまという[教科書・学年]のデジタルツールを作成します")</f>
        <v>1.「ゆきだま」というカテゴリーのデジタルツールを作成します。
2. ごむだまという[教科書・学年]のデジタルツールを作成します</v>
      </c>
      <c r="E56" s="39" t="str">
        <f>IFERROR(__xludf.DUMMYFUNCTION("GOOGLETRANSLATE(FT!E56,""vi"",""ja"")"),"1.デジタルツール一覧画面へ
2. テキストボックスにキーワード「だま」を入力します
3.「さがす」ボタンをクリック")</f>
        <v>1.デジタルツール一覧画面へ
2. テキストボックスにキーワード「だま」を入力します
3.「さがす」ボタンをクリック</v>
      </c>
      <c r="F56" s="39" t="str">
        <f>IFERROR(__xludf.DUMMYFUNCTION("GOOGLETRANSLATE(FT!F56,""vi"",""ja"")"),"3. カテゴリデジタルツールと[教科書・学年]の両方が表示される")</f>
        <v>3. カテゴリデジタルツールと[教科書・学年]の両方が表示される</v>
      </c>
      <c r="G56" s="40" t="s">
        <v>45</v>
      </c>
      <c r="H56" s="41" t="s">
        <v>46</v>
      </c>
      <c r="I56" s="42" t="s">
        <v>667</v>
      </c>
      <c r="J56" s="41" t="s">
        <v>46</v>
      </c>
      <c r="K56" s="42"/>
      <c r="L56" s="42" t="s">
        <v>667</v>
      </c>
      <c r="M56" s="42" t="s">
        <v>667</v>
      </c>
      <c r="N56" s="42" t="s">
        <v>667</v>
      </c>
      <c r="O56" s="43"/>
    </row>
    <row r="57" ht="15.75" customHeight="1">
      <c r="A57" s="38" t="str">
        <f t="shared" si="3"/>
        <v>FT_51</v>
      </c>
      <c r="B57" s="39"/>
      <c r="C57" s="39"/>
      <c r="D57" s="39" t="str">
        <f>IFERROR(__xludf.DUMMYFUNCTION("GOOGLETRANSLATE(FT!D57,""vi"",""ja"")"),"1.「ゆきだま」というカテゴリーのデジタルツールを作成します。
2. ごむだまという[教科書・学年]のデジタルツールを作成します")</f>
        <v>1.「ゆきだま」というカテゴリーのデジタルツールを作成します。
2. ごむだまという[教科書・学年]のデジタルツールを作成します</v>
      </c>
      <c r="E57" s="39" t="str">
        <f>IFERROR(__xludf.DUMMYFUNCTION("GOOGLETRANSLATE(FT!E57,""vi"",""ja"")"),"1.デジタルツール一覧画面へ
2. テキストボックスにキーワード「きだま」を入力します
3.「さがす」ボタンをクリック")</f>
        <v>1.デジタルツール一覧画面へ
2. テキストボックスにキーワード「きだま」を入力します
3.「さがす」ボタンをクリック</v>
      </c>
      <c r="F57" s="39" t="str">
        <f>IFERROR(__xludf.DUMMYFUNCTION("GOOGLETRANSLATE(FT!F57,""vi"",""ja"")"),"3. カテゴリのデジタルツールのみが表示されます")</f>
        <v>3. カテゴリのデジタルツールのみが表示されます</v>
      </c>
      <c r="G57" s="40" t="s">
        <v>45</v>
      </c>
      <c r="H57" s="41" t="s">
        <v>46</v>
      </c>
      <c r="I57" s="42" t="s">
        <v>667</v>
      </c>
      <c r="J57" s="41" t="s">
        <v>46</v>
      </c>
      <c r="K57" s="42"/>
      <c r="L57" s="42" t="s">
        <v>667</v>
      </c>
      <c r="M57" s="42" t="s">
        <v>667</v>
      </c>
      <c r="N57" s="42" t="s">
        <v>667</v>
      </c>
      <c r="O57" s="43"/>
    </row>
    <row r="58" ht="15.75" customHeight="1">
      <c r="A58" s="38" t="str">
        <f t="shared" si="3"/>
        <v>FT_52</v>
      </c>
      <c r="B58" s="39"/>
      <c r="C58" s="39"/>
      <c r="D58" s="39" t="str">
        <f>IFERROR(__xludf.DUMMYFUNCTION("GOOGLETRANSLATE(FT!D58,""vi"",""ja"")"),"1.「ゆきだま」というカテゴリーのデジタルツールを作成します。
2. ごむだまという[教科書・学年]のデジタルツールを作成します")</f>
        <v>1.「ゆきだま」というカテゴリーのデジタルツールを作成します。
2. ごむだまという[教科書・学年]のデジタルツールを作成します</v>
      </c>
      <c r="E58" s="39" t="str">
        <f>IFERROR(__xludf.DUMMYFUNCTION("GOOGLETRANSLATE(FT!E58,""vi"",""ja"")"),"1.デジタルツール一覧画面へ
2. テキストボックスにキーワード「むだま」を入力します
3.「さがす」ボタンをクリック")</f>
        <v>1.デジタルツール一覧画面へ
2. テキストボックスにキーワード「むだま」を入力します
3.「さがす」ボタンをクリック</v>
      </c>
      <c r="F58" s="39" t="str">
        <f>IFERROR(__xludf.DUMMYFUNCTION("GOOGLETRANSLATE(FT!F58,""vi"",""ja"")"),"3. [教科書・学年]のデジタルツールのみが表示されます")</f>
        <v>3. [教科書・学年]のデジタルツールのみが表示されます</v>
      </c>
      <c r="G58" s="40" t="s">
        <v>45</v>
      </c>
      <c r="H58" s="41" t="s">
        <v>46</v>
      </c>
      <c r="I58" s="42" t="s">
        <v>667</v>
      </c>
      <c r="J58" s="41" t="s">
        <v>46</v>
      </c>
      <c r="K58" s="42"/>
      <c r="L58" s="42" t="s">
        <v>667</v>
      </c>
      <c r="M58" s="42" t="s">
        <v>667</v>
      </c>
      <c r="N58" s="42" t="s">
        <v>667</v>
      </c>
      <c r="O58" s="43"/>
    </row>
    <row r="59" ht="15.75" customHeight="1">
      <c r="A59" s="38" t="str">
        <f t="shared" si="3"/>
        <v>FT_53</v>
      </c>
      <c r="B59" s="39"/>
      <c r="C59" s="39"/>
      <c r="D59" s="39" t="str">
        <f>IFERROR(__xludf.DUMMYFUNCTION("GOOGLETRANSLATE(FT!D59,""vi"",""ja"")"),"1.「ゆきだま」というカテゴリーのデジタルツールを作成します。
2. ごむだまという[教科書・学年]のデジタルツールを作成します")</f>
        <v>1.「ゆきだま」というカテゴリーのデジタルツールを作成します。
2. ごむだまという[教科書・学年]のデジタルツールを作成します</v>
      </c>
      <c r="E59" s="39" t="str">
        <f>IFERROR(__xludf.DUMMYFUNCTION("GOOGLETRANSLATE(FT!E59,""vi"",""ja"")"),"1.デジタルツール一覧画面へ
2. テキストボックスにキーワード「ゆきだま」を入力します。
3.「さがす」ボタンをクリック")</f>
        <v>1.デジタルツール一覧画面へ
2. テキストボックスにキーワード「ゆきだま」を入力します。
3.「さがす」ボタンをクリック</v>
      </c>
      <c r="F59" s="39" t="str">
        <f>IFERROR(__xludf.DUMMYFUNCTION("GOOGLETRANSLATE(FT!F59,""vi"",""ja"")"),"3. カテゴリのデジタルツールのみが表示されます")</f>
        <v>3. カテゴリのデジタルツールのみが表示されます</v>
      </c>
      <c r="G59" s="40" t="s">
        <v>45</v>
      </c>
      <c r="H59" s="41" t="s">
        <v>46</v>
      </c>
      <c r="I59" s="42" t="s">
        <v>667</v>
      </c>
      <c r="J59" s="41" t="s">
        <v>46</v>
      </c>
      <c r="K59" s="42"/>
      <c r="L59" s="42" t="s">
        <v>667</v>
      </c>
      <c r="M59" s="42" t="s">
        <v>667</v>
      </c>
      <c r="N59" s="42" t="s">
        <v>667</v>
      </c>
      <c r="O59" s="43"/>
    </row>
    <row r="60" ht="15.75" customHeight="1">
      <c r="A60" s="38" t="str">
        <f t="shared" si="3"/>
        <v>FT_54</v>
      </c>
      <c r="B60" s="39"/>
      <c r="C60" s="39"/>
      <c r="D60" s="39" t="str">
        <f>IFERROR(__xludf.DUMMYFUNCTION("GOOGLETRANSLATE(FT!D60,""vi"",""ja"")"),"1.「ゆきだま」というカテゴリーのデジタルツールを作成します。
2. ごむだまという[教科書・学年]のデジタルツールを作成します")</f>
        <v>1.「ゆきだま」というカテゴリーのデジタルツールを作成します。
2. ごむだまという[教科書・学年]のデジタルツールを作成します</v>
      </c>
      <c r="E60" s="39" t="str">
        <f>IFERROR(__xludf.DUMMYFUNCTION("GOOGLETRANSLATE(FT!E60,""vi"",""ja"")"),"1.デジタルツール一覧画面へ
2. テキストボックスにキーワード「ごむだま」を入力します
3.「さがす」ボタンをクリック")</f>
        <v>1.デジタルツール一覧画面へ
2. テキストボックスにキーワード「ごむだま」を入力します
3.「さがす」ボタンをクリック</v>
      </c>
      <c r="F60" s="39" t="str">
        <f>IFERROR(__xludf.DUMMYFUNCTION("GOOGLETRANSLATE(FT!F60,""vi"",""ja"")"),"3. [教科書・学年]のデジタルツールのみが表示されます")</f>
        <v>3. [教科書・学年]のデジタルツールのみが表示されます</v>
      </c>
      <c r="G60" s="40" t="s">
        <v>45</v>
      </c>
      <c r="H60" s="41" t="s">
        <v>46</v>
      </c>
      <c r="I60" s="42" t="s">
        <v>667</v>
      </c>
      <c r="J60" s="41" t="s">
        <v>46</v>
      </c>
      <c r="K60" s="42"/>
      <c r="L60" s="42" t="s">
        <v>667</v>
      </c>
      <c r="M60" s="42" t="s">
        <v>667</v>
      </c>
      <c r="N60" s="42" t="s">
        <v>667</v>
      </c>
      <c r="O60" s="43"/>
    </row>
    <row r="61" ht="15.75" customHeight="1">
      <c r="A61" s="38" t="str">
        <f t="shared" si="3"/>
        <v>FT_55</v>
      </c>
      <c r="B61" s="39"/>
      <c r="C61" s="39" t="str">
        <f>IFERROR(__xludf.DUMMYFUNCTION("GOOGLETRANSLATE(FT!C61,""vi"",""ja"")"),"写真に登録されているキーワードで検索が成功するか確認する")</f>
        <v>写真に登録されているキーワードで検索が成功するか確認する</v>
      </c>
      <c r="D61" s="39" t="str">
        <f>IFERROR(__xludf.DUMMYFUNCTION("GOOGLETRANSLATE(FT!D61,""vi"",""ja"")"),"1. カテゴリのデジタルツールのキーワードを雪玉として登録します
2. [教科書・学年]のデジタルツールに登録するキーワードはゴム玉です")</f>
        <v>1. カテゴリのデジタルツールのキーワードを雪玉として登録します
2. [教科書・学年]のデジタルツールに登録するキーワードはゴム玉です</v>
      </c>
      <c r="E61" s="39" t="str">
        <f>IFERROR(__xludf.DUMMYFUNCTION("GOOGLETRANSLATE(FT!E61,""vi"",""ja"")"),"1.デジタルツール一覧画面へ
2. テキストボックスにキーワード「玉」を入力します
3.「さがす」ボタンをクリック")</f>
        <v>1.デジタルツール一覧画面へ
2. テキストボックスにキーワード「玉」を入力します
3.「さがす」ボタンをクリック</v>
      </c>
      <c r="F61" s="39" t="str">
        <f>IFERROR(__xludf.DUMMYFUNCTION("GOOGLETRANSLATE(FT!F61,""vi"",""ja"")"),"3. カテゴリデジタルツールと[教科書・学年]の両方が表示される")</f>
        <v>3. カテゴリデジタルツールと[教科書・学年]の両方が表示される</v>
      </c>
      <c r="G61" s="40" t="s">
        <v>45</v>
      </c>
      <c r="H61" s="41" t="s">
        <v>46</v>
      </c>
      <c r="I61" s="42" t="s">
        <v>667</v>
      </c>
      <c r="J61" s="41" t="s">
        <v>46</v>
      </c>
      <c r="K61" s="42"/>
      <c r="L61" s="42" t="s">
        <v>667</v>
      </c>
      <c r="M61" s="42" t="s">
        <v>667</v>
      </c>
      <c r="N61" s="42" t="s">
        <v>667</v>
      </c>
      <c r="O61" s="43"/>
    </row>
    <row r="62" ht="15.75" customHeight="1">
      <c r="A62" s="38" t="str">
        <f t="shared" si="3"/>
        <v>FT_56</v>
      </c>
      <c r="B62" s="39"/>
      <c r="C62" s="39"/>
      <c r="D62" s="39" t="str">
        <f>IFERROR(__xludf.DUMMYFUNCTION("GOOGLETRANSLATE(FT!D62,""vi"",""ja"")"),"1. カテゴリのデジタルツールのキーワードを雪玉として登録します
2. [教科書・学年]のデジタルツールに登録するキーワードはゴム玉です")</f>
        <v>1. カテゴリのデジタルツールのキーワードを雪玉として登録します
2. [教科書・学年]のデジタルツールに登録するキーワードはゴム玉です</v>
      </c>
      <c r="E62" s="39" t="str">
        <f>IFERROR(__xludf.DUMMYFUNCTION("GOOGLETRANSLATE(FT!E62,""vi"",""ja"")"),"1.デジタルツール一覧画面へ
2. テキストボックスにキーワード「雪」を入力します。
3.「さがす」ボタンをクリック")</f>
        <v>1.デジタルツール一覧画面へ
2. テキストボックスにキーワード「雪」を入力します。
3.「さがす」ボタンをクリック</v>
      </c>
      <c r="F62" s="39" t="str">
        <f>IFERROR(__xludf.DUMMYFUNCTION("GOOGLETRANSLATE(FT!F62,""vi"",""ja"")"),"3. カテゴリのデジタルツールのみが表示されます")</f>
        <v>3. カテゴリのデジタルツールのみが表示されます</v>
      </c>
      <c r="G62" s="40" t="s">
        <v>45</v>
      </c>
      <c r="H62" s="41" t="s">
        <v>46</v>
      </c>
      <c r="I62" s="42" t="s">
        <v>667</v>
      </c>
      <c r="J62" s="41" t="s">
        <v>46</v>
      </c>
      <c r="K62" s="42"/>
      <c r="L62" s="42" t="s">
        <v>667</v>
      </c>
      <c r="M62" s="42" t="s">
        <v>667</v>
      </c>
      <c r="N62" s="42" t="s">
        <v>667</v>
      </c>
      <c r="O62" s="43"/>
    </row>
    <row r="63" ht="15.75" customHeight="1">
      <c r="A63" s="38" t="str">
        <f t="shared" si="3"/>
        <v>FT_57</v>
      </c>
      <c r="B63" s="39"/>
      <c r="C63" s="39"/>
      <c r="D63" s="39" t="str">
        <f>IFERROR(__xludf.DUMMYFUNCTION("GOOGLETRANSLATE(FT!D63,""vi"",""ja"")"),"1. カテゴリのデジタルツールのキーワードを雪玉として登録します
2. [教科書・学年]のデジタルツールに登録するキーワードはゴム玉です")</f>
        <v>1. カテゴリのデジタルツールのキーワードを雪玉として登録します
2. [教科書・学年]のデジタルツールに登録するキーワードはゴム玉です</v>
      </c>
      <c r="E63" s="39" t="str">
        <f>IFERROR(__xludf.DUMMYFUNCTION("GOOGLETRANSLATE(FT!E63,""vi"",""ja"")"),"1.デジタルツール一覧画面へ
2. テキストボックスにキーワード「ゴム」を入力します
3.「さがす」ボタンをクリック")</f>
        <v>1.デジタルツール一覧画面へ
2. テキストボックスにキーワード「ゴム」を入力します
3.「さがす」ボタンをクリック</v>
      </c>
      <c r="F63" s="39" t="str">
        <f>IFERROR(__xludf.DUMMYFUNCTION("GOOGLETRANSLATE(FT!F63,""vi"",""ja"")"),"3. [教科書・学年]のデジタルツールのみが表示されます")</f>
        <v>3. [教科書・学年]のデジタルツールのみが表示されます</v>
      </c>
      <c r="G63" s="40" t="s">
        <v>45</v>
      </c>
      <c r="H63" s="41" t="s">
        <v>46</v>
      </c>
      <c r="I63" s="42" t="s">
        <v>667</v>
      </c>
      <c r="J63" s="41" t="s">
        <v>46</v>
      </c>
      <c r="K63" s="42"/>
      <c r="L63" s="42" t="s">
        <v>667</v>
      </c>
      <c r="M63" s="42" t="s">
        <v>667</v>
      </c>
      <c r="N63" s="42" t="s">
        <v>667</v>
      </c>
      <c r="O63" s="43"/>
    </row>
    <row r="64" ht="15.75" customHeight="1">
      <c r="A64" s="38" t="str">
        <f t="shared" si="3"/>
        <v>FT_58</v>
      </c>
      <c r="B64" s="39"/>
      <c r="C64" s="39"/>
      <c r="D64" s="39" t="str">
        <f>IFERROR(__xludf.DUMMYFUNCTION("GOOGLETRANSLATE(FT!D64,""vi"",""ja"")"),"1. カテゴリのデジタルツールのキーワードを雪玉として登録します
2. [教科書・学年]のデジタルツールに登録するキーワードはゴム玉です")</f>
        <v>1. カテゴリのデジタルツールのキーワードを雪玉として登録します
2. [教科書・学年]のデジタルツールに登録するキーワードはゴム玉です</v>
      </c>
      <c r="E64" s="39" t="str">
        <f>IFERROR(__xludf.DUMMYFUNCTION("GOOGLETRANSLATE(FT!E64,""vi"",""ja"")"),"1.デジタルツール一覧画面へ
2. テキストボックスにキーワード「雪玉」を入力します
3.「さがす」ボタンをクリック")</f>
        <v>1.デジタルツール一覧画面へ
2. テキストボックスにキーワード「雪玉」を入力します
3.「さがす」ボタンをクリック</v>
      </c>
      <c r="F64" s="39" t="str">
        <f>IFERROR(__xludf.DUMMYFUNCTION("GOOGLETRANSLATE(FT!F64,""vi"",""ja"")"),"3. カテゴリのデジタルツールのみが表示されます")</f>
        <v>3. カテゴリのデジタルツールのみが表示されます</v>
      </c>
      <c r="G64" s="40" t="s">
        <v>45</v>
      </c>
      <c r="H64" s="41" t="s">
        <v>46</v>
      </c>
      <c r="I64" s="42" t="s">
        <v>667</v>
      </c>
      <c r="J64" s="41" t="s">
        <v>46</v>
      </c>
      <c r="K64" s="42"/>
      <c r="L64" s="42" t="s">
        <v>667</v>
      </c>
      <c r="M64" s="42" t="s">
        <v>667</v>
      </c>
      <c r="N64" s="42" t="s">
        <v>667</v>
      </c>
      <c r="O64" s="43"/>
    </row>
    <row r="65" ht="15.75" customHeight="1">
      <c r="A65" s="38" t="str">
        <f t="shared" si="3"/>
        <v>FT_59</v>
      </c>
      <c r="B65" s="39"/>
      <c r="C65" s="39"/>
      <c r="D65" s="39" t="str">
        <f>IFERROR(__xludf.DUMMYFUNCTION("GOOGLETRANSLATE(FT!D65,""vi"",""ja"")"),"1. カテゴリのデジタルツールのキーワードを雪玉として登録します
2. [教科書・学年]のデジタルツールに登録するキーワードはゴム玉です")</f>
        <v>1. カテゴリのデジタルツールのキーワードを雪玉として登録します
2. [教科書・学年]のデジタルツールに登録するキーワードはゴム玉です</v>
      </c>
      <c r="E65" s="39" t="str">
        <f>IFERROR(__xludf.DUMMYFUNCTION("GOOGLETRANSLATE(FT!E65,""vi"",""ja"")"),"1.デジタルツール一覧画面へ
2. テキストボックスにキーワード「ゴム玉」を入力します
3.「さがす」ボタンをクリック")</f>
        <v>1.デジタルツール一覧画面へ
2. テキストボックスにキーワード「ゴム玉」を入力します
3.「さがす」ボタンをクリック</v>
      </c>
      <c r="F65" s="39" t="str">
        <f>IFERROR(__xludf.DUMMYFUNCTION("GOOGLETRANSLATE(FT!F65,""vi"",""ja"")"),"3. [教科書・学年]のデジタルツールのみが表示されます")</f>
        <v>3. [教科書・学年]のデジタルツールのみが表示されます</v>
      </c>
      <c r="G65" s="40" t="s">
        <v>45</v>
      </c>
      <c r="H65" s="41" t="s">
        <v>46</v>
      </c>
      <c r="I65" s="42" t="s">
        <v>667</v>
      </c>
      <c r="J65" s="41" t="s">
        <v>46</v>
      </c>
      <c r="K65" s="42"/>
      <c r="L65" s="42" t="s">
        <v>667</v>
      </c>
      <c r="M65" s="42" t="s">
        <v>667</v>
      </c>
      <c r="N65" s="42" t="s">
        <v>667</v>
      </c>
      <c r="O65" s="43"/>
    </row>
    <row r="66" ht="15.75" customHeight="1">
      <c r="A66" s="47" t="s">
        <v>670</v>
      </c>
      <c r="B66" s="16"/>
      <c r="C66" s="16"/>
      <c r="D66" s="16"/>
      <c r="E66" s="16"/>
      <c r="F66" s="16"/>
      <c r="G66" s="16"/>
      <c r="H66" s="16"/>
      <c r="I66" s="16"/>
      <c r="J66" s="16"/>
      <c r="K66" s="16"/>
      <c r="L66" s="16"/>
      <c r="M66" s="16"/>
      <c r="N66" s="16"/>
      <c r="O66" s="17"/>
    </row>
    <row r="67" ht="15.75" customHeight="1">
      <c r="A67" s="38" t="str">
        <f t="shared" ref="A67:A125" si="4">IF(F67&lt;&gt;"",""&amp;TEXT($B$1,"##")&amp;"_"&amp;(ROW()-5)-COUNTBLANK(F$6:F67),"")</f>
        <v>FT_60</v>
      </c>
      <c r="B67" s="39" t="str">
        <f>IFERROR(__xludf.DUMMYFUNCTION("GOOGLETRANSLATE(FT!B67,""vi"",""ja"")"),"UI")</f>
        <v>UI</v>
      </c>
      <c r="C67" s="39" t="str">
        <f>IFERROR(__xludf.DUMMYFUNCTION("GOOGLETRANSLATE(FT!C67,""vi"",""ja"")"),"ドロップダウンをクリックした際のUIを確認する 絵のしゅるい")</f>
        <v>ドロップダウンをクリックした際のUIを確認する 絵のしゅるい</v>
      </c>
      <c r="D67" s="39"/>
      <c r="E67" s="39" t="str">
        <f>IFERROR(__xludf.DUMMYFUNCTION("GOOGLETRANSLATE(FT!E67,""vi"",""ja"")"),"1.デジタルツール一覧画面へ
2.「絵のしゅるい」ドロップダウンをクリックします。")</f>
        <v>1.デジタルツール一覧画面へ
2.「絵のしゅるい」ドロップダウンをクリックします。</v>
      </c>
      <c r="F67" s="39" t="str">
        <f>IFERROR(__xludf.DUMMYFUNCTION("GOOGLETRANSLATE(FT!F67,""vi"",""ja"")"),"2. 設計どおりに UI を表示します: https://docs.google.com/presentation/d/1uIXz_fgthWJZ-wI9hncMjBFuUkY5cvgzLVYgvmFzVv4/edit?slide=id.g33b0341dd9c_0_113#slide=id.g33b0341dd9c_0_113")</f>
        <v>2. 設計どおりに UI を表示します: https://docs.google.com/presentation/d/1uIXz_fgthWJZ-wI9hncMjBFuUkY5cvgzLVYgvmFzVv4/edit?slide=id.g33b0341dd9c_0_113#slide=id.g33b0341dd9c_0_113</v>
      </c>
      <c r="G67" s="40" t="s">
        <v>45</v>
      </c>
      <c r="H67" s="41" t="s">
        <v>46</v>
      </c>
      <c r="I67" s="42" t="s">
        <v>667</v>
      </c>
      <c r="J67" s="41" t="s">
        <v>46</v>
      </c>
      <c r="K67" s="42"/>
      <c r="L67" s="42" t="s">
        <v>667</v>
      </c>
      <c r="M67" s="42" t="s">
        <v>667</v>
      </c>
      <c r="N67" s="42" t="s">
        <v>667</v>
      </c>
      <c r="O67" s="43"/>
    </row>
    <row r="68" ht="15.75" customHeight="1">
      <c r="A68" s="38" t="str">
        <f t="shared" si="4"/>
        <v>FT_61</v>
      </c>
      <c r="B68" s="39"/>
      <c r="C68" s="39" t="str">
        <f>IFERROR(__xludf.DUMMYFUNCTION("GOOGLETRANSLATE(FT!C68,""vi"",""ja"")"),"ドロップダウンリストタグを閉じるをチェックしてください")</f>
        <v>ドロップダウンリストタグを閉じるをチェックしてください</v>
      </c>
      <c r="D68" s="39" t="str">
        <f>IFERROR(__xludf.DUMMYFUNCTION("GOOGLETRANSLATE(FT!D68,""vi"",""ja"")"),"タグリストにアクションがない場合")</f>
        <v>タグリストにアクションがない場合</v>
      </c>
      <c r="E68" s="39" t="str">
        <f>IFERROR(__xludf.DUMMYFUNCTION("GOOGLETRANSLATE(FT!E68,""vi"",""ja"")"),"1.デジタルツール一覧画面へ
2.「絵のしゅるい」ドロップダウンをクリックします。
3. 絵のしゅるいドロップダウンを再度クリックします。
4.「絵のしゅるい」ドロップダウンをクリックします。
5. タグリスト表示エリア外をクリック 
")</f>
        <v>1.デジタルツール一覧画面へ
2.「絵のしゅるい」ドロップダウンをクリックします。
3. 絵のしゅるいドロップダウンを再度クリックします。
4.「絵のしゅるい」ドロップダウンをクリックします。
5. タグリスト表示エリア外をクリック 
</v>
      </c>
      <c r="F68" s="39" t="str">
        <f>IFERROR(__xludf.DUMMYFUNCTION("GOOGLETRANSLATE(FT!F68,""vi"",""ja"")"),"3. タグリストを閉じる
5. タグリストを閉じる")</f>
        <v>3. タグリストを閉じる
5. タグリストを閉じる</v>
      </c>
      <c r="G68" s="40" t="s">
        <v>45</v>
      </c>
      <c r="H68" s="41" t="s">
        <v>46</v>
      </c>
      <c r="I68" s="42" t="s">
        <v>667</v>
      </c>
      <c r="J68" s="41" t="s">
        <v>46</v>
      </c>
      <c r="K68" s="42"/>
      <c r="L68" s="42" t="s">
        <v>667</v>
      </c>
      <c r="M68" s="42" t="s">
        <v>667</v>
      </c>
      <c r="N68" s="42" t="s">
        <v>667</v>
      </c>
      <c r="O68" s="43"/>
    </row>
    <row r="69" ht="15.75" customHeight="1">
      <c r="A69" s="38" t="str">
        <f t="shared" si="4"/>
        <v>FT_62</v>
      </c>
      <c r="B69" s="39"/>
      <c r="C69" s="39"/>
      <c r="D69" s="39" t="str">
        <f>IFERROR(__xludf.DUMMYFUNCTION("GOOGLETRANSLATE(FT!D69,""vi"",""ja"")"),"タグリストで選択したタグ")</f>
        <v>タグリストで選択したタグ</v>
      </c>
      <c r="E69" s="39" t="str">
        <f>IFERROR(__xludf.DUMMYFUNCTION("GOOGLETRANSLATE(FT!E69,""vi"",""ja"")"),"1.デジタルツール一覧画面へ
2.「絵のしゅるい」ドロップダウンをクリックします。
3. タグを選択するアクションを実行します =&gt; ドロップダウンを再度クリックします 絵のしゅるい
4.「絵のしゅるい」ドロップダウンをクリックします。
5. タグ選択アクションを実行 =&gt; タグリスト表示領域の外側をクリック 
6.「絵のしゅるい」ドロップダウンをクリックします。
")</f>
        <v>1.デジタルツール一覧画面へ
2.「絵のしゅるい」ドロップダウンをクリックします。
3. タグを選択するアクションを実行します =&gt; ドロップダウンを再度クリックします 絵のしゅるい
4.「絵のしゅるい」ドロップダウンをクリックします。
5. タグ選択アクションを実行 =&gt; タグリスト表示領域の外側をクリック 
6.「絵のしゅるい」ドロップダウンをクリックします。
</v>
      </c>
      <c r="F69" s="39" t="str">
        <f>IFERROR(__xludf.DUMMYFUNCTION("GOOGLETRANSLATE(FT!F69,""vi"",""ja"")"),"3. タグリストを閉じる
5. タグリストを閉じる
6. 手順 2 と同様にタグリストを再度開きます。")</f>
        <v>3. タグリストを閉じる
5. タグリストを閉じる
6. 手順 2 と同様にタグリストを再度開きます。</v>
      </c>
      <c r="G69" s="40" t="s">
        <v>45</v>
      </c>
      <c r="H69" s="41" t="s">
        <v>46</v>
      </c>
      <c r="I69" s="42" t="s">
        <v>667</v>
      </c>
      <c r="J69" s="41" t="s">
        <v>46</v>
      </c>
      <c r="K69" s="42"/>
      <c r="L69" s="42" t="s">
        <v>667</v>
      </c>
      <c r="M69" s="42" t="s">
        <v>667</v>
      </c>
      <c r="N69" s="42" t="s">
        <v>667</v>
      </c>
      <c r="O69" s="43"/>
    </row>
    <row r="70" ht="15.75" customHeight="1">
      <c r="A70" s="38" t="str">
        <f t="shared" si="4"/>
        <v>FT_63</v>
      </c>
      <c r="B70" s="39" t="str">
        <f>IFERROR(__xludf.DUMMYFUNCTION("GOOGLETRANSLATE(FT!B70,""vi"",""ja"")"),"タグ一覧を確認する")</f>
        <v>タグ一覧を確認する</v>
      </c>
      <c r="C70" s="39" t="str">
        <f>IFERROR(__xludf.DUMMYFUNCTION("GOOGLETRANSLATE(FT!C70,""vi"",""ja"")"),"タグレベル1の表示を確認する")</f>
        <v>タグレベル1の表示を確認する</v>
      </c>
      <c r="D70" s="39" t="str">
        <f>IFERROR(__xludf.DUMMYFUNCTION("GOOGLETRANSLATE(FT!D70,""vi"",""ja"")"),"&lt;=18 アイテム")</f>
        <v>&lt;=18 アイテム</v>
      </c>
      <c r="E70" s="39" t="str">
        <f>IFERROR(__xludf.DUMMYFUNCTION("GOOGLETRANSLATE(FT!E70,""vi"",""ja"")"),"1.デジタルツール一覧画面へ
2.「絵のしゅるい」ドロップダウンをクリックします。
3. リストタグレベル1の表示を確認する")</f>
        <v>1.デジタルツール一覧画面へ
2.「絵のしゅるい」ドロップダウンをクリックします。
3. リストタグレベル1の表示を確認する</v>
      </c>
      <c r="F70" s="72" t="str">
        <f>IFERROR(__xludf.DUMMYFUNCTION("GOOGLETRANSLATE(FT!F70,""vi"",""ja"")"),"3. 上から下、左から右の順に、最大 18 個のアイテムを 3x6 個の数量で表示します。 
スクロールなし")</f>
        <v>3. 上から下、左から右の順に、最大 18 個のアイテムを 3x6 個の数量で表示します。 
スクロールなし</v>
      </c>
      <c r="G70" s="40" t="s">
        <v>45</v>
      </c>
      <c r="H70" s="41" t="s">
        <v>46</v>
      </c>
      <c r="I70" s="42" t="s">
        <v>667</v>
      </c>
      <c r="J70" s="41" t="s">
        <v>46</v>
      </c>
      <c r="K70" s="42"/>
      <c r="L70" s="42" t="s">
        <v>667</v>
      </c>
      <c r="M70" s="42" t="s">
        <v>667</v>
      </c>
      <c r="N70" s="42" t="s">
        <v>667</v>
      </c>
      <c r="O70" s="43"/>
    </row>
    <row r="71" ht="15.75" customHeight="1">
      <c r="A71" s="38" t="str">
        <f t="shared" si="4"/>
        <v>FT_64</v>
      </c>
      <c r="B71" s="39"/>
      <c r="C71" s="39"/>
      <c r="D71" s="39" t="str">
        <f>IFERROR(__xludf.DUMMYFUNCTION("GOOGLETRANSLATE(FT!D71,""vi"",""ja"")"),"18 項目以上")</f>
        <v>18 項目以上</v>
      </c>
      <c r="E71" s="39" t="str">
        <f>IFERROR(__xludf.DUMMYFUNCTION("GOOGLETRANSLATE(FT!E71,""vi"",""ja"")"),"1.デジタルツール一覧画面へ
2.「絵のしゅるい」ドロップダウンをクリックします。
3. リストタグレベル1の表示を確認する")</f>
        <v>1.デジタルツール一覧画面へ
2.「絵のしゅるい」ドロップダウンをクリックします。
3. リストタグレベル1の表示を確認する</v>
      </c>
      <c r="F71" s="39" t="str">
        <f>IFERROR(__xludf.DUMMYFUNCTION("GOOGLETRANSLATE(FT!F71,""vi"",""ja"")"),"3. 上から下、左から右の順に 3x6 の数量で 18 個のアイテムを表示します。 
スクロールがあり、スクロールしてさらにアイテムを読み込むことができます")</f>
        <v>3. 上から下、左から右の順に 3x6 の数量で 18 個のアイテムを表示します。 
スクロールがあり、スクロールしてさらにアイテムを読み込むことができます</v>
      </c>
      <c r="G71" s="40" t="s">
        <v>45</v>
      </c>
      <c r="H71" s="41" t="s">
        <v>46</v>
      </c>
      <c r="I71" s="42" t="s">
        <v>667</v>
      </c>
      <c r="J71" s="41" t="s">
        <v>46</v>
      </c>
      <c r="K71" s="42"/>
      <c r="L71" s="42" t="s">
        <v>667</v>
      </c>
      <c r="M71" s="42" t="s">
        <v>667</v>
      </c>
      <c r="N71" s="42" t="s">
        <v>667</v>
      </c>
      <c r="O71" s="43"/>
    </row>
    <row r="72" ht="15.75" customHeight="1">
      <c r="A72" s="38" t="str">
        <f t="shared" si="4"/>
        <v>FT_65</v>
      </c>
      <c r="B72" s="39"/>
      <c r="C72" s="39" t="str">
        <f>IFERROR(__xludf.DUMMYFUNCTION("GOOGLETRANSLATE(FT!C72,""vi"",""ja"")"),"クリックしてタグ レベル 1 を選択することにチェックを入れます")</f>
        <v>クリックしてタグ レベル 1 を選択することにチェックを入れます</v>
      </c>
      <c r="D72" s="39" t="str">
        <f>IFERROR(__xludf.DUMMYFUNCTION("GOOGLETRANSLATE(FT!D72,""vi"",""ja"")"),"選択したタグ レベル 1 のリスト タグ レベル 2 には 18 個以下の項目があります")</f>
        <v>選択したタグ レベル 1 のリスト タグ レベル 2 には 18 個以下の項目があります</v>
      </c>
      <c r="E72" s="39" t="str">
        <f>IFERROR(__xludf.DUMMYFUNCTION("GOOGLETRANSLATE(FT!E72,""vi"",""ja"")"),"1.デジタルツール一覧画面へ
2.「絵のしゅるい」ドロップダウンをクリックします。
3. 前提条件のレベル 1 タグをクリックします。
4. リストタグレベル2の表示を確認する")</f>
        <v>1.デジタルツール一覧画面へ
2.「絵のしゅるい」ドロップダウンをクリックします。
3. 前提条件のレベル 1 タグをクリックします。
4. リストタグレベル2の表示を確認する</v>
      </c>
      <c r="F72" s="39" t="str">
        <f>IFERROR(__xludf.DUMMYFUNCTION("GOOGLETRANSLATE(FT!F72,""vi"",""ja"")"),"2. タグレベル 1 表示が選択されています (表示背景 #FFCC00)
3. リスト タグ レベル 2 は、リスト タグ レベル 1 の隣の四角形に表示されます。  
上から下、左から右の順に、最大 18 個のアイテムを 3x6 個の数量で表示します。 
スクロールなし")</f>
        <v>2. タグレベル 1 表示が選択されています (表示背景 #FFCC00)
3. リスト タグ レベル 2 は、リスト タグ レベル 1 の隣の四角形に表示されます。  
上から下、左から右の順に、最大 18 個のアイテムを 3x6 個の数量で表示します。 
スクロールなし</v>
      </c>
      <c r="G72" s="40" t="s">
        <v>45</v>
      </c>
      <c r="H72" s="41" t="s">
        <v>46</v>
      </c>
      <c r="I72" s="42" t="s">
        <v>667</v>
      </c>
      <c r="J72" s="41" t="s">
        <v>46</v>
      </c>
      <c r="K72" s="42"/>
      <c r="L72" s="42" t="s">
        <v>667</v>
      </c>
      <c r="M72" s="42" t="s">
        <v>667</v>
      </c>
      <c r="N72" s="42" t="s">
        <v>667</v>
      </c>
      <c r="O72" s="43"/>
    </row>
    <row r="73" ht="15.75" customHeight="1">
      <c r="A73" s="38" t="str">
        <f t="shared" si="4"/>
        <v>FT_66</v>
      </c>
      <c r="B73" s="39"/>
      <c r="C73" s="39"/>
      <c r="D73" s="39" t="str">
        <f>IFERROR(__xludf.DUMMYFUNCTION("GOOGLETRANSLATE(FT!D73,""vi"",""ja"")"),"選択したタグ レベル 1 のリスト タグ レベル 2 には 18 個を超える項目があります")</f>
        <v>選択したタグ レベル 1 のリスト タグ レベル 2 には 18 個を超える項目があります</v>
      </c>
      <c r="E73" s="39" t="str">
        <f>IFERROR(__xludf.DUMMYFUNCTION("GOOGLETRANSLATE(FT!E73,""vi"",""ja"")"),"1.デジタルツール一覧画面へ
2.「絵のしゅるい」ドロップダウンをクリックします。
3. 前提条件のレベル 1 タグをクリックします。
4. リストタグレベル2の表示を確認する")</f>
        <v>1.デジタルツール一覧画面へ
2.「絵のしゅるい」ドロップダウンをクリックします。
3. 前提条件のレベル 1 タグをクリックします。
4. リストタグレベル2の表示を確認する</v>
      </c>
      <c r="F73" s="39" t="str">
        <f>IFERROR(__xludf.DUMMYFUNCTION("GOOGLETRANSLATE(FT!F73,""vi"",""ja"")"),"2. タグレベル 1 表示が選択されています (表示背景 #FFCC00)
3. リスト タグ レベル 2 は、リスト タグ レベル 1 の隣の四角形に表示されます。  
数量 3x6 の 18 個のアイテムを上から下、左から右の順に表示します。 
スクロールがあり、スクロールしてさらにアイテムを読み込むことができます")</f>
        <v>2. タグレベル 1 表示が選択されています (表示背景 #FFCC00)
3. リスト タグ レベル 2 は、リスト タグ レベル 1 の隣の四角形に表示されます。  
数量 3x6 の 18 個のアイテムを上から下、左から右の順に表示します。 
スクロールがあり、スクロールしてさらにアイテムを読み込むことができます</v>
      </c>
      <c r="G73" s="40" t="s">
        <v>45</v>
      </c>
      <c r="H73" s="41" t="s">
        <v>46</v>
      </c>
      <c r="I73" s="42" t="s">
        <v>667</v>
      </c>
      <c r="J73" s="41" t="s">
        <v>46</v>
      </c>
      <c r="K73" s="42"/>
      <c r="L73" s="42" t="s">
        <v>667</v>
      </c>
      <c r="M73" s="42" t="s">
        <v>667</v>
      </c>
      <c r="N73" s="42" t="s">
        <v>667</v>
      </c>
      <c r="O73" s="43"/>
    </row>
    <row r="74" ht="15.75" customHeight="1">
      <c r="A74" s="38" t="str">
        <f t="shared" si="4"/>
        <v>FT_67</v>
      </c>
      <c r="B74" s="39"/>
      <c r="C74" s="39" t="str">
        <f>IFERROR(__xludf.DUMMYFUNCTION("GOOGLETRANSLATE(FT!C74,""vi"",""ja"")"),"別のレベル 1 タグをクリックする場合にチェックを入れます")</f>
        <v>別のレベル 1 タグをクリックする場合にチェックを入れます</v>
      </c>
      <c r="D74" s="39"/>
      <c r="E74" s="39" t="str">
        <f>IFERROR(__xludf.DUMMYFUNCTION("GOOGLETRANSLATE(FT!E74,""vi"",""ja"")"),"1.デジタルツール一覧画面へ
2.「絵のしゅるい」ドロップダウンをクリックします。
3. レベル 1 タグをクリックします 
4. 別のレベル 1 タグをクリックします")</f>
        <v>1.デジタルツール一覧画面へ
2.「絵のしゅるい」ドロップダウンをクリックします。
3. レベル 1 タグをクリックします 
4. 別のレベル 1 タグをクリックします</v>
      </c>
      <c r="F74" s="39" t="str">
        <f>IFERROR(__xludf.DUMMYFUNCTION("GOOGLETRANSLATE(FT!F74,""vi"",""ja"")"),"4. ステップ 3 のタグ レベル 1 が選択解除されます (背景 #FFCC00 が失われます)。
    ステップ 4 のタグ レベル 1 が選択された状態で表示されます (背景 #FFCC00 を表示)
⇒手順4でクリックしたレベル1タグに対応するレベル2タグの一覧を表示")</f>
        <v>4. ステップ 3 のタグ レベル 1 が選択解除されます (背景 #FFCC00 が失われます)。
    ステップ 4 のタグ レベル 1 が選択された状態で表示されます (背景 #FFCC00 を表示)
⇒手順4でクリックしたレベル1タグに対応するレベル2タグの一覧を表示</v>
      </c>
      <c r="G74" s="40" t="s">
        <v>45</v>
      </c>
      <c r="H74" s="41" t="s">
        <v>46</v>
      </c>
      <c r="I74" s="42" t="s">
        <v>667</v>
      </c>
      <c r="J74" s="41" t="s">
        <v>46</v>
      </c>
      <c r="K74" s="42"/>
      <c r="L74" s="42" t="s">
        <v>667</v>
      </c>
      <c r="M74" s="42" t="s">
        <v>667</v>
      </c>
      <c r="N74" s="42" t="s">
        <v>667</v>
      </c>
      <c r="O74" s="43"/>
    </row>
    <row r="75" ht="15.75" customHeight="1">
      <c r="A75" s="38" t="str">
        <f t="shared" si="4"/>
        <v>FT_68</v>
      </c>
      <c r="B75" s="39"/>
      <c r="C75" s="39" t="str">
        <f>IFERROR(__xludf.DUMMYFUNCTION("GOOGLETRANSLATE(FT!C75,""vi"",""ja"")"),"現在選択されているレベル 1 タグをクリックする場合にチェックを入れます。")</f>
        <v>現在選択されているレベル 1 タグをクリックする場合にチェックを入れます。</v>
      </c>
      <c r="D75" s="39"/>
      <c r="E75" s="39" t="str">
        <f>IFERROR(__xludf.DUMMYFUNCTION("GOOGLETRANSLATE(FT!E75,""vi"",""ja"")"),"1.デジタルツール一覧画面へ
2.「絵のしゅるい」ドロップダウンをクリックします。
3. レベル 1 タグをクリックします 
4. ステップ 3 のレベル 1 タグを再度クリックします。")</f>
        <v>1.デジタルツール一覧画面へ
2.「絵のしゅるい」ドロップダウンをクリックします。
3. レベル 1 タグをクリックします 
4. ステップ 3 のレベル 1 タグを再度クリックします。</v>
      </c>
      <c r="F75" s="39" t="str">
        <f>IFERROR(__xludf.DUMMYFUNCTION("GOOGLETRANSLATE(FT!F75,""vi"",""ja"")"),"4. レベル 1 タグのチェックを外すと、レベル 2 タグのリストが空になります。")</f>
        <v>4. レベル 1 タグのチェックを外すと、レベル 2 タグのリストが空になります。</v>
      </c>
      <c r="G75" s="40" t="s">
        <v>45</v>
      </c>
      <c r="H75" s="41" t="s">
        <v>46</v>
      </c>
      <c r="I75" s="42" t="s">
        <v>667</v>
      </c>
      <c r="J75" s="41" t="s">
        <v>46</v>
      </c>
      <c r="K75" s="42"/>
      <c r="L75" s="42" t="s">
        <v>667</v>
      </c>
      <c r="M75" s="42" t="s">
        <v>667</v>
      </c>
      <c r="N75" s="42" t="s">
        <v>667</v>
      </c>
      <c r="O75" s="43"/>
    </row>
    <row r="76" ht="15.75" customHeight="1">
      <c r="A76" s="38" t="str">
        <f t="shared" si="4"/>
        <v>FT_69</v>
      </c>
      <c r="B76" s="39"/>
      <c r="C76" s="39" t="str">
        <f>IFERROR(__xludf.DUMMYFUNCTION("GOOGLETRANSLATE(FT!C76,""vi"",""ja"")"),"クリックしてタグ レベル 2 を選択することにチェックを入れます")</f>
        <v>クリックしてタグ レベル 2 を選択することにチェックを入れます</v>
      </c>
      <c r="D76" s="39" t="str">
        <f>IFERROR(__xludf.DUMMYFUNCTION("GOOGLETRANSLATE(FT!D76,""vi"",""ja"")"),"タグ レベル 1 にはタグ レベル 2 があり、タグ レベル 2 には 10 以下のタグ レベル 3 があります")</f>
        <v>タグ レベル 1 にはタグ レベル 2 があり、タグ レベル 2 には 10 以下のタグ レベル 3 があります</v>
      </c>
      <c r="E76" s="39" t="str">
        <f>IFERROR(__xludf.DUMMYFUNCTION("GOOGLETRANSLATE(FT!E76,""vi"",""ja"")"),"1.デジタルツール一覧画面へ
2.「絵のしゅるい」ドロップダウンをクリックします。
3. 前提条件のレベル 1 タグをクリックします。
4. 前提条件でレベル 2 タグをクリックします")</f>
        <v>1.デジタルツール一覧画面へ
2.「絵のしゅるい」ドロップダウンをクリックします。
3. 前提条件のレベル 1 タグをクリックします。
4. 前提条件でレベル 2 タグをクリックします</v>
      </c>
      <c r="F76" s="39" t="str">
        <f>IFERROR(__xludf.DUMMYFUNCTION("GOOGLETRANSLATE(FT!F76,""vi"",""ja"")"),"4. 背景色 #D9D9D9 で最大 10 個の項目を表示します
スクロールなし")</f>
        <v>4. 背景色 #D9D9D9 で最大 10 個の項目を表示します
スクロールなし</v>
      </c>
      <c r="G76" s="40" t="s">
        <v>45</v>
      </c>
      <c r="H76" s="41" t="s">
        <v>46</v>
      </c>
      <c r="I76" s="42" t="s">
        <v>667</v>
      </c>
      <c r="J76" s="41" t="s">
        <v>46</v>
      </c>
      <c r="K76" s="42"/>
      <c r="L76" s="42" t="s">
        <v>667</v>
      </c>
      <c r="M76" s="42" t="s">
        <v>667</v>
      </c>
      <c r="N76" s="42" t="s">
        <v>667</v>
      </c>
      <c r="O76" s="43"/>
    </row>
    <row r="77" ht="15.75" customHeight="1">
      <c r="A77" s="38" t="str">
        <f t="shared" si="4"/>
        <v>FT_70</v>
      </c>
      <c r="B77" s="39"/>
      <c r="C77" s="39"/>
      <c r="D77" s="39" t="str">
        <f>IFERROR(__xludf.DUMMYFUNCTION("GOOGLETRANSLATE(FT!D77,""vi"",""ja"")"),"タグ レベル 1 にはタグ レベル 2 があり、タグ レベル 2 にはタグ レベル 3 が 10 を超えています")</f>
        <v>タグ レベル 1 にはタグ レベル 2 があり、タグ レベル 2 にはタグ レベル 3 が 10 を超えています</v>
      </c>
      <c r="E77" s="39" t="str">
        <f>IFERROR(__xludf.DUMMYFUNCTION("GOOGLETRANSLATE(FT!E77,""vi"",""ja"")"),"1.デジタルツール一覧画面へ
2.「絵のしゅるい」ドロップダウンをクリックします。
3. 前提条件のレベル 1 タグをクリックします。
4. 前提条件でレベル 2 タグをクリックします")</f>
        <v>1.デジタルツール一覧画面へ
2.「絵のしゅるい」ドロップダウンをクリックします。
3. 前提条件のレベル 1 タグをクリックします。
4. 前提条件でレベル 2 タグをクリックします</v>
      </c>
      <c r="F77" s="39" t="str">
        <f>IFERROR(__xludf.DUMMYFUNCTION("GOOGLETRANSLATE(FT!F77,""vi"",""ja"")"),"4. 背景色 #D9D9D9 で 10 個のアイテムを表示します。
スクロールがあり、スクロールしてさらにアイテムを読み込むことができます")</f>
        <v>4. 背景色 #D9D9D9 で 10 個のアイテムを表示します。
スクロールがあり、スクロールしてさらにアイテムを読み込むことができます</v>
      </c>
      <c r="G77" s="40" t="s">
        <v>45</v>
      </c>
      <c r="H77" s="41" t="s">
        <v>46</v>
      </c>
      <c r="I77" s="42" t="s">
        <v>667</v>
      </c>
      <c r="J77" s="41" t="s">
        <v>46</v>
      </c>
      <c r="K77" s="42"/>
      <c r="L77" s="42" t="s">
        <v>667</v>
      </c>
      <c r="M77" s="42" t="s">
        <v>667</v>
      </c>
      <c r="N77" s="42" t="s">
        <v>667</v>
      </c>
      <c r="O77" s="43"/>
    </row>
    <row r="78" ht="15.75" customHeight="1">
      <c r="A78" s="38" t="str">
        <f t="shared" si="4"/>
        <v>FT_71</v>
      </c>
      <c r="B78" s="39"/>
      <c r="C78" s="39" t="str">
        <f>IFERROR(__xludf.DUMMYFUNCTION("GOOGLETRANSLATE(FT!C78,""vi"",""ja"")"),"タグ名レベル3の表示を確認する")</f>
        <v>タグ名レベル3の表示を確認する</v>
      </c>
      <c r="D78" s="39" t="str">
        <f>IFERROR(__xludf.DUMMYFUNCTION("GOOGLETRANSLATE(FT!D78,""vi"",""ja"")"),"タグ レベル 1 にはタグ レベル 2 があり、タグ レベル 2 にはタグ レベル 3 があります。 タグ レベル 3 の名前の文字数は表示枠よりも少なくなります。")</f>
        <v>タグ レベル 1 にはタグ レベル 2 があり、タグ レベル 2 にはタグ レベル 3 があります。 タグ レベル 3 の名前の文字数は表示枠よりも少なくなります。</v>
      </c>
      <c r="E78" s="39" t="str">
        <f>IFERROR(__xludf.DUMMYFUNCTION("GOOGLETRANSLATE(FT!E78,""vi"",""ja"")"),"1.デジタルツール一覧画面へ
2.「絵のしゅるい」ドロップダウンをクリックします。
3. 前提条件のレベル 1 タグをクリックします。
4. 前提条件でレベル 2 タグをクリックします
5. レベル3のタグ名の表示を確認する")</f>
        <v>1.デジタルツール一覧画面へ
2.「絵のしゅるい」ドロップダウンをクリックします。
3. 前提条件のレベル 1 タグをクリックします。
4. 前提条件でレベル 2 タグをクリックします
5. レベル3のタグ名の表示を確認する</v>
      </c>
      <c r="F78" s="39" t="str">
        <f>IFERROR(__xludf.DUMMYFUNCTION("GOOGLETRANSLATE(FT!F78,""vi"",""ja"")"),"5. 完全なレベル 3 タグ名を表示する")</f>
        <v>5. 完全なレベル 3 タグ名を表示する</v>
      </c>
      <c r="G78" s="40" t="s">
        <v>45</v>
      </c>
      <c r="H78" s="41" t="s">
        <v>46</v>
      </c>
      <c r="I78" s="42" t="s">
        <v>667</v>
      </c>
      <c r="J78" s="41" t="s">
        <v>46</v>
      </c>
      <c r="K78" s="42"/>
      <c r="L78" s="42" t="s">
        <v>667</v>
      </c>
      <c r="M78" s="42" t="s">
        <v>667</v>
      </c>
      <c r="N78" s="42" t="s">
        <v>667</v>
      </c>
      <c r="O78" s="43"/>
    </row>
    <row r="79" ht="15.75" customHeight="1">
      <c r="A79" s="38" t="str">
        <f t="shared" si="4"/>
        <v>FT_72</v>
      </c>
      <c r="B79" s="39"/>
      <c r="C79" s="39"/>
      <c r="D79" s="39" t="str">
        <f>IFERROR(__xludf.DUMMYFUNCTION("GOOGLETRANSLATE(FT!D79,""vi"",""ja"")"),"タグ レベル 1 にはタグ レベル 2 があり、タグ レベル 2 にはタグ レベル 3 があります。 タグ レベル 3 の名前の文字数が表示フレームより長くなります。")</f>
        <v>タグ レベル 1 にはタグ レベル 2 があり、タグ レベル 2 にはタグ レベル 3 があります。 タグ レベル 3 の名前の文字数が表示フレームより長くなります。</v>
      </c>
      <c r="E79" s="39" t="str">
        <f>IFERROR(__xludf.DUMMYFUNCTION("GOOGLETRANSLATE(FT!E79,""vi"",""ja"")"),"1.デジタルツール一覧画面へ
2.「絵のしゅるい」ドロップダウンをクリックします。
3. 前提条件のレベル 1 タグをクリックします。 
4. 前提条件でレベル 2 タグをクリックします
5. レベル3のタグ名の表示を確認する")</f>
        <v>1.デジタルツール一覧画面へ
2.「絵のしゅるい」ドロップダウンをクリックします。
3. 前提条件のレベル 1 タグをクリックします。 
4. 前提条件でレベル 2 タグをクリックします
5. レベル3のタグ名の表示を確認する</v>
      </c>
      <c r="F79" s="39" t="str">
        <f>IFERROR(__xludf.DUMMYFUNCTION("GOOGLETRANSLATE(FT!F79,""vi"",""ja"")"),"5.名前をフレームの限界まで表示し、残りの文字は切り取られます")</f>
        <v>5.名前をフレームの限界まで表示し、残りの文字は切り取られます</v>
      </c>
      <c r="G79" s="40" t="s">
        <v>45</v>
      </c>
      <c r="H79" s="41" t="s">
        <v>46</v>
      </c>
      <c r="I79" s="42" t="s">
        <v>667</v>
      </c>
      <c r="J79" s="41" t="s">
        <v>46</v>
      </c>
      <c r="K79" s="42"/>
      <c r="L79" s="42" t="s">
        <v>667</v>
      </c>
      <c r="M79" s="42" t="s">
        <v>667</v>
      </c>
      <c r="N79" s="42" t="s">
        <v>667</v>
      </c>
      <c r="O79" s="43"/>
    </row>
    <row r="80" ht="15.75" customHeight="1">
      <c r="A80" s="38" t="str">
        <f t="shared" si="4"/>
        <v>FT_73</v>
      </c>
      <c r="B80" s="39"/>
      <c r="C80" s="39" t="str">
        <f>IFERROR(__xludf.DUMMYFUNCTION("GOOGLETRANSLATE(FT!C80,""vi"",""ja"")"),"クリックしてタグ レベル 1 を選択することにチェックを入れます ")</f>
        <v>クリックしてタグ レベル 1 を選択することにチェックを入れます </v>
      </c>
      <c r="D80" s="39" t="str">
        <f>IFERROR(__xludf.DUMMYFUNCTION("GOOGLETRANSLATE(FT!D80,""vi"",""ja"")"),"タグ レベル 1 には多数のレベル 2 タグがあり、タグ レベル 2 にはレベル 3 タグがあります")</f>
        <v>タグ レベル 1 には多数のレベル 2 タグがあり、タグ レベル 2 にはレベル 3 タグがあります</v>
      </c>
      <c r="E80" s="39" t="str">
        <f>IFERROR(__xludf.DUMMYFUNCTION("GOOGLETRANSLATE(FT!E80,""vi"",""ja"")"),"1.デジタルツール一覧画面へ
2.「絵のしゅるい」ドロップダウンをクリックします。
3. 前提条件のレベル 1 タグをクリックします。
4. レベル 2 タグをクリックします。
5. 手順3でタグレベル1を再度クリック =&gt; タグレベル3の表示を確認")</f>
        <v>1.デジタルツール一覧画面へ
2.「絵のしゅるい」ドロップダウンをクリックします。
3. 前提条件のレベル 1 タグをクリックします。
4. レベル 2 タグをクリックします。
5. 手順3でタグレベル1を再度クリック =&gt; タグレベル3の表示を確認</v>
      </c>
      <c r="F80" s="39" t="str">
        <f>IFERROR(__xludf.DUMMYFUNCTION("GOOGLETRANSLATE(FT!F80,""vi"",""ja"")"),"5. ステップ 3 のタグ レベル 1 の選択が解除されます。
    リストタグのレベル 2、3 は空になります")</f>
        <v>5. ステップ 3 のタグ レベル 1 の選択が解除されます。
    リストタグのレベル 2、3 は空になります</v>
      </c>
      <c r="G80" s="40" t="s">
        <v>45</v>
      </c>
      <c r="H80" s="41" t="s">
        <v>46</v>
      </c>
      <c r="I80" s="42" t="s">
        <v>667</v>
      </c>
      <c r="J80" s="41" t="s">
        <v>46</v>
      </c>
      <c r="K80" s="42"/>
      <c r="L80" s="42" t="s">
        <v>667</v>
      </c>
      <c r="M80" s="42" t="s">
        <v>667</v>
      </c>
      <c r="N80" s="42" t="s">
        <v>667</v>
      </c>
      <c r="O80" s="43"/>
    </row>
    <row r="81" ht="15.75" customHeight="1">
      <c r="A81" s="38" t="str">
        <f t="shared" si="4"/>
        <v>FT_74</v>
      </c>
      <c r="B81" s="39"/>
      <c r="C81" s="39" t="str">
        <f>IFERROR(__xludf.DUMMYFUNCTION("GOOGLETRANSLATE(FT!C81,""vi"",""ja"")"),"別のレベル 2 タグにチェックを入れてクリックします")</f>
        <v>別のレベル 2 タグにチェックを入れてクリックします</v>
      </c>
      <c r="D81" s="39" t="str">
        <f>IFERROR(__xludf.DUMMYFUNCTION("GOOGLETRANSLATE(FT!D81,""vi"",""ja"")"),"タグ レベル 1 には多くのタグ レベル 2 があります")</f>
        <v>タグ レベル 1 には多くのタグ レベル 2 があります</v>
      </c>
      <c r="E81" s="39" t="str">
        <f>IFERROR(__xludf.DUMMYFUNCTION("GOOGLETRANSLATE(FT!E81,""vi"",""ja"")"),"1.デジタルツール一覧画面へ
2.「絵のしゅるい」ドロップダウンをクリックします。
3. 前提条件のレベル 1 タグをクリックします。
4. レベル 2 タグをクリックします
5. 手順4のタグ以外のレベル2タグをクリック ⇒ レベル2タグ、レベル3タグの表示を確認")</f>
        <v>1.デジタルツール一覧画面へ
2.「絵のしゅるい」ドロップダウンをクリックします。
3. 前提条件のレベル 1 タグをクリックします。
4. レベル 2 タグをクリックします
5. 手順4のタグ以外のレベル2タグをクリック ⇒ レベル2タグ、レベル3タグの表示を確認</v>
      </c>
      <c r="F81" s="39" t="str">
        <f>IFERROR(__xludf.DUMMYFUNCTION("GOOGLETRANSLATE(FT!F81,""vi"",""ja"")"),"5. ステップ 4 のタグ レベル 2 の選択が解除され、ステップ 5 のタグ レベル 2 が選択されたものとして表示されます (黄色の背景が表示されます)。
    手順5でレベル2タグに属するレベル3タグのリストを表示します。")</f>
        <v>5. ステップ 4 のタグ レベル 2 の選択が解除され、ステップ 5 のタグ レベル 2 が選択されたものとして表示されます (黄色の背景が表示されます)。
    手順5でレベル2タグに属するレベル3タグのリストを表示します。</v>
      </c>
      <c r="G81" s="40" t="s">
        <v>45</v>
      </c>
      <c r="H81" s="41" t="s">
        <v>46</v>
      </c>
      <c r="I81" s="42" t="s">
        <v>667</v>
      </c>
      <c r="J81" s="41" t="s">
        <v>46</v>
      </c>
      <c r="K81" s="42"/>
      <c r="L81" s="42" t="s">
        <v>667</v>
      </c>
      <c r="M81" s="42" t="s">
        <v>667</v>
      </c>
      <c r="N81" s="42" t="s">
        <v>667</v>
      </c>
      <c r="O81" s="43"/>
    </row>
    <row r="82" ht="15.75" customHeight="1">
      <c r="A82" s="38" t="str">
        <f t="shared" si="4"/>
        <v>FT_75</v>
      </c>
      <c r="B82" s="39"/>
      <c r="C82" s="39" t="str">
        <f>IFERROR(__xludf.DUMMYFUNCTION("GOOGLETRANSLATE(FT!C82,""vi"",""ja"")"),"チェックすると、現在選択されているレベル 2 タグをクリックします。")</f>
        <v>チェックすると、現在選択されているレベル 2 タグをクリックします。</v>
      </c>
      <c r="D82" s="39" t="str">
        <f>IFERROR(__xludf.DUMMYFUNCTION("GOOGLETRANSLATE(FT!D82,""vi"",""ja"")"),"タグ レベル 1 には多くのタグ レベル 2 があります")</f>
        <v>タグ レベル 1 には多くのタグ レベル 2 があります</v>
      </c>
      <c r="E82" s="39" t="str">
        <f>IFERROR(__xludf.DUMMYFUNCTION("GOOGLETRANSLATE(FT!E82,""vi"",""ja"")"),"1.デジタルツール一覧画面へ
2.「絵のしゅるい」ドロップダウンをクリックします。
3. 前提条件のレベル 1 タグをクリックします。
4. レベル 2 タグをクリックします
5. 手順4で再度タグレベル2をクリック =&gt; タグレベル2,3の表示を確認")</f>
        <v>1.デジタルツール一覧画面へ
2.「絵のしゅるい」ドロップダウンをクリックします。
3. 前提条件のレベル 1 タグをクリックします。
4. レベル 2 タグをクリックします
5. 手順4で再度タグレベル2をクリック =&gt; タグレベル2,3の表示を確認</v>
      </c>
      <c r="F82" s="39" t="str">
        <f>IFERROR(__xludf.DUMMYFUNCTION("GOOGLETRANSLATE(FT!F82,""vi"",""ja"")"),"5. ステップ 4 のタグ レベル 2 の選択が解除されます。
    リストタグレベル3は空になります")</f>
        <v>5. ステップ 4 のタグ レベル 2 の選択が解除されます。
    リストタグレベル3は空になります</v>
      </c>
      <c r="G82" s="40" t="s">
        <v>45</v>
      </c>
      <c r="H82" s="41" t="s">
        <v>46</v>
      </c>
      <c r="I82" s="42" t="s">
        <v>667</v>
      </c>
      <c r="J82" s="41" t="s">
        <v>46</v>
      </c>
      <c r="K82" s="42"/>
      <c r="L82" s="42" t="s">
        <v>667</v>
      </c>
      <c r="M82" s="42" t="s">
        <v>667</v>
      </c>
      <c r="N82" s="42" t="s">
        <v>667</v>
      </c>
      <c r="O82" s="43"/>
    </row>
    <row r="83" ht="15.75" customHeight="1">
      <c r="A83" s="38" t="str">
        <f t="shared" si="4"/>
        <v>FT_76</v>
      </c>
      <c r="B83" s="39"/>
      <c r="C83" s="39" t="str">
        <f>IFERROR(__xludf.DUMMYFUNCTION("GOOGLETRANSLATE(FT!C83,""vi"",""ja"")"),"別のレベル 1 タグをクリックすることを確認します")</f>
        <v>別のレベル 1 タグをクリックすることを確認します</v>
      </c>
      <c r="D83" s="39" t="str">
        <f>IFERROR(__xludf.DUMMYFUNCTION("GOOGLETRANSLATE(FT!D83,""vi"",""ja"")"),"タグ レベル 1 には多数のレベル 2 タグがあり、タグ レベル 2 にはレベル 3 タグがあります")</f>
        <v>タグ レベル 1 には多数のレベル 2 タグがあり、タグ レベル 2 にはレベル 3 タグがあります</v>
      </c>
      <c r="E83" s="39" t="str">
        <f>IFERROR(__xludf.DUMMYFUNCTION("GOOGLETRANSLATE(FT!E83,""vi"",""ja"")"),"1.デジタルツール一覧画面へ
2.「絵のしゅるい」ドロップダウンをクリックします。
3. 前提条件のレベル 1 タグをクリックします。
4. レベル 2 タグをクリックします
5. 手順3以外のレベル1タグをクリック ⇒ レベル1、2、3タグの表示を確認")</f>
        <v>1.デジタルツール一覧画面へ
2.「絵のしゅるい」ドロップダウンをクリックします。
3. 前提条件のレベル 1 タグをクリックします。
4. レベル 2 タグをクリックします
5. 手順3以外のレベル1タグをクリック ⇒ レベル1、2、3タグの表示を確認</v>
      </c>
      <c r="F83" s="39" t="str">
        <f>IFERROR(__xludf.DUMMYFUNCTION("GOOGLETRANSLATE(FT!F83,""vi"",""ja"")"),"5. ステップ 3 のタグ レベル 1 は選択解除され、ステップ 5 のタグ レベル 1 が選択されたものとして表示されます (黄色の背景が表示されます)。
    手順5でレベル1タグに属するレベル2タグのリストを表示します。")</f>
        <v>5. ステップ 3 のタグ レベル 1 は選択解除され、ステップ 5 のタグ レベル 1 が選択されたものとして表示されます (黄色の背景が表示されます)。
    手順5でレベル1タグに属するレベル2タグのリストを表示します。</v>
      </c>
      <c r="G83" s="40" t="s">
        <v>45</v>
      </c>
      <c r="H83" s="41" t="s">
        <v>46</v>
      </c>
      <c r="I83" s="42" t="s">
        <v>667</v>
      </c>
      <c r="J83" s="41" t="s">
        <v>46</v>
      </c>
      <c r="K83" s="42"/>
      <c r="L83" s="42" t="s">
        <v>667</v>
      </c>
      <c r="M83" s="42" t="s">
        <v>667</v>
      </c>
      <c r="N83" s="42" t="s">
        <v>667</v>
      </c>
      <c r="O83" s="43"/>
    </row>
    <row r="84" ht="15.75" customHeight="1">
      <c r="A84" s="38" t="str">
        <f t="shared" si="4"/>
        <v>FT_77</v>
      </c>
      <c r="B84" s="39"/>
      <c r="C84" s="39" t="str">
        <f>IFERROR(__xludf.DUMMYFUNCTION("GOOGLETRANSLATE(FT!C84,""vi"",""ja"")"),"クリックしてタグ レベル 3 を選択することにチェックを入れます")</f>
        <v>クリックしてタグ レベル 3 を選択することにチェックを入れます</v>
      </c>
      <c r="D84" s="39" t="str">
        <f>IFERROR(__xludf.DUMMYFUNCTION("GOOGLETRANSLATE(FT!D84,""vi"",""ja"")"),"タグ レベル 1 にはタグ レベル 2 があります 
タグ レベル 2 にはタグ レベル 3 があります
タグ レベル 3 には 10 個以下のタグ レベル 4 があります")</f>
        <v>タグ レベル 1 にはタグ レベル 2 があります 
タグ レベル 2 にはタグ レベル 3 があります
タグ レベル 3 には 10 個以下のタグ レベル 4 があります</v>
      </c>
      <c r="E84" s="39" t="str">
        <f>IFERROR(__xludf.DUMMYFUNCTION("GOOGLETRANSLATE(FT!E84,""vi"",""ja"")"),"1.デジタルツール一覧画面へ
2.「絵のしゅるい」ドロップダウンをクリックします。
3. 前提条件のレベル 1 タグをクリックします。
4. 前提条件でレベル 2 タグをクリックします
5. 前提条件でレベル 3 タグをクリックします
6. レベル4タグリストの表示を確認する")</f>
        <v>1.デジタルツール一覧画面へ
2.「絵のしゅるい」ドロップダウンをクリックします。
3. 前提条件のレベル 1 タグをクリックします。
4. 前提条件でレベル 2 タグをクリックします
5. 前提条件でレベル 3 タグをクリックします
6. レベル4タグリストの表示を確認する</v>
      </c>
      <c r="F84" s="39" t="str">
        <f>IFERROR(__xludf.DUMMYFUNCTION("GOOGLETRANSLATE(FT!F84,""vi"",""ja"")"),"6. レベル 4 のタグをすべて背景色 #D9D9D9 で表示します。
スクロールなし")</f>
        <v>6. レベル 4 のタグをすべて背景色 #D9D9D9 で表示します。
スクロールなし</v>
      </c>
      <c r="G84" s="40" t="s">
        <v>45</v>
      </c>
      <c r="H84" s="41" t="s">
        <v>46</v>
      </c>
      <c r="I84" s="42" t="s">
        <v>667</v>
      </c>
      <c r="J84" s="41" t="s">
        <v>46</v>
      </c>
      <c r="K84" s="42"/>
      <c r="L84" s="42" t="s">
        <v>667</v>
      </c>
      <c r="M84" s="42" t="s">
        <v>667</v>
      </c>
      <c r="N84" s="42" t="s">
        <v>667</v>
      </c>
      <c r="O84" s="43"/>
    </row>
    <row r="85" ht="15.75" customHeight="1">
      <c r="A85" s="38" t="str">
        <f t="shared" si="4"/>
        <v>FT_78</v>
      </c>
      <c r="B85" s="39"/>
      <c r="C85" s="39"/>
      <c r="D85" s="39" t="str">
        <f>IFERROR(__xludf.DUMMYFUNCTION("GOOGLETRANSLATE(FT!D85,""vi"",""ja"")"),"タグ レベル 1 にはタグ レベル 2 があります 
タグ レベル 2 にはタグ レベル 3 が含まれます
タグ レベル 3 には 10 を超えるタグ レベル 4 があります")</f>
        <v>タグ レベル 1 にはタグ レベル 2 があります 
タグ レベル 2 にはタグ レベル 3 が含まれます
タグ レベル 3 には 10 を超えるタグ レベル 4 があります</v>
      </c>
      <c r="E85" s="39" t="str">
        <f>IFERROR(__xludf.DUMMYFUNCTION("GOOGLETRANSLATE(FT!E85,""vi"",""ja"")"),"1.デジタルツール一覧画面へ
2.「絵のしゅるい」ドロップダウンをクリックします。
3. 前提条件のレベル 1 タグをクリックします。
4. 前提条件でレベル 2 タグをクリックします
5. 前提条件でレベル 3 タグをクリックします
6. レベル4タグリストの表示を確認する")</f>
        <v>1.デジタルツール一覧画面へ
2.「絵のしゅるい」ドロップダウンをクリックします。
3. 前提条件のレベル 1 タグをクリックします。
4. 前提条件でレベル 2 タグをクリックします
5. 前提条件でレベル 3 タグをクリックします
6. レベル4タグリストの表示を確認する</v>
      </c>
      <c r="F85" s="39" t="str">
        <f>IFERROR(__xludf.DUMMYFUNCTION("GOOGLETRANSLATE(FT!F85,""vi"",""ja"")"),"6. 背景色 #D9D9D9 で 10 個のアイテムを表示します。
スクロールがあり、スクロールしてさらにアイテムを読み込むことができます")</f>
        <v>6. 背景色 #D9D9D9 で 10 個のアイテムを表示します。
スクロールがあり、スクロールしてさらにアイテムを読み込むことができます</v>
      </c>
      <c r="G85" s="40" t="s">
        <v>45</v>
      </c>
      <c r="H85" s="41" t="s">
        <v>46</v>
      </c>
      <c r="I85" s="42" t="s">
        <v>667</v>
      </c>
      <c r="J85" s="41" t="s">
        <v>46</v>
      </c>
      <c r="K85" s="42"/>
      <c r="L85" s="42" t="s">
        <v>667</v>
      </c>
      <c r="M85" s="42" t="s">
        <v>667</v>
      </c>
      <c r="N85" s="42" t="s">
        <v>667</v>
      </c>
      <c r="O85" s="43"/>
    </row>
    <row r="86" ht="15.75" customHeight="1">
      <c r="A86" s="38" t="str">
        <f t="shared" si="4"/>
        <v>FT_79</v>
      </c>
      <c r="B86" s="39"/>
      <c r="C86" s="39" t="str">
        <f>IFERROR(__xludf.DUMMYFUNCTION("GOOGLETRANSLATE(FT!C86,""vi"",""ja"")"),"タグ名レベル4の表示を確認する")</f>
        <v>タグ名レベル4の表示を確認する</v>
      </c>
      <c r="D86" s="39" t="str">
        <f>IFERROR(__xludf.DUMMYFUNCTION("GOOGLETRANSLATE(FT!D86,""vi"",""ja"")"),"タグ レベル 1 にはタグ レベル 2 があります 
タグ レベル 2 にはタグ レベル 3 が含まれます
タグレベル3にタグレベル4がある：タグレベル4の名前の文字数が表示枠より少ない")</f>
        <v>タグ レベル 1 にはタグ レベル 2 があります 
タグ レベル 2 にはタグ レベル 3 が含まれます
タグレベル3にタグレベル4がある：タグレベル4の名前の文字数が表示枠より少ない</v>
      </c>
      <c r="E86" s="39" t="str">
        <f>IFERROR(__xludf.DUMMYFUNCTION("GOOGLETRANSLATE(FT!E86,""vi"",""ja"")"),"1.デジタルツール一覧画面へ
2.「絵のしゅるい」ドロップダウンをクリックします。
3. 前提条件のレベル 1 タグをクリックします。
4. 前提条件でレベル 2 タグをクリックします
5. 前提条件でレベル 3 タグをクリックします
6. レベル4のタグ名の表示を確認する")</f>
        <v>1.デジタルツール一覧画面へ
2.「絵のしゅるい」ドロップダウンをクリックします。
3. 前提条件のレベル 1 タグをクリックします。
4. 前提条件でレベル 2 タグをクリックします
5. 前提条件でレベル 3 タグをクリックします
6. レベル4のタグ名の表示を確認する</v>
      </c>
      <c r="F86" s="39" t="str">
        <f>IFERROR(__xludf.DUMMYFUNCTION("GOOGLETRANSLATE(FT!F86,""vi"",""ja"")"),"5. 完全なレベル 4 タグ名を表示する")</f>
        <v>5. 完全なレベル 4 タグ名を表示する</v>
      </c>
      <c r="G86" s="40" t="s">
        <v>45</v>
      </c>
      <c r="H86" s="41" t="s">
        <v>46</v>
      </c>
      <c r="I86" s="42" t="s">
        <v>667</v>
      </c>
      <c r="J86" s="41" t="s">
        <v>46</v>
      </c>
      <c r="K86" s="42"/>
      <c r="L86" s="42" t="s">
        <v>667</v>
      </c>
      <c r="M86" s="42" t="s">
        <v>667</v>
      </c>
      <c r="N86" s="42" t="s">
        <v>667</v>
      </c>
      <c r="O86" s="43"/>
    </row>
    <row r="87" ht="15.75" customHeight="1">
      <c r="A87" s="38" t="str">
        <f t="shared" si="4"/>
        <v>FT_80</v>
      </c>
      <c r="B87" s="39"/>
      <c r="C87" s="39"/>
      <c r="D87" s="39" t="str">
        <f>IFERROR(__xludf.DUMMYFUNCTION("GOOGLETRANSLATE(FT!D87,""vi"",""ja"")"),"タグ レベル 1 にはタグ レベル 2 があります 
タグ レベル 2 にはタグ レベル 3 が含まれます
タグレベル3にタグレベル4がある：タグレベル3の名前の文字数が表示枠より長い")</f>
        <v>タグ レベル 1 にはタグ レベル 2 があります 
タグ レベル 2 にはタグ レベル 3 が含まれます
タグレベル3にタグレベル4がある：タグレベル3の名前の文字数が表示枠より長い</v>
      </c>
      <c r="E87" s="39" t="str">
        <f>IFERROR(__xludf.DUMMYFUNCTION("GOOGLETRANSLATE(FT!E87,""vi"",""ja"")"),"1.デジタルツール一覧画面へ
2.「絵のしゅるい」ドロップダウンをクリックします。
3. 前提条件のレベル 1 タグをクリックします。
4. 前提条件でレベル 2 タグをクリックします
5. 前提条件でレベル 3 タグをクリックします
6. レベル4のタグ名の表示を確認する")</f>
        <v>1.デジタルツール一覧画面へ
2.「絵のしゅるい」ドロップダウンをクリックします。
3. 前提条件のレベル 1 タグをクリックします。
4. 前提条件でレベル 2 タグをクリックします
5. 前提条件でレベル 3 タグをクリックします
6. レベル4のタグ名の表示を確認する</v>
      </c>
      <c r="F87" s="39" t="str">
        <f>IFERROR(__xludf.DUMMYFUNCTION("GOOGLETRANSLATE(FT!F87,""vi"",""ja"")"),"5.名前をフレームの限界まで表示し、残りの文字は切り取られます")</f>
        <v>5.名前をフレームの限界まで表示し、残りの文字は切り取られます</v>
      </c>
      <c r="G87" s="40" t="s">
        <v>45</v>
      </c>
      <c r="H87" s="41" t="s">
        <v>46</v>
      </c>
      <c r="I87" s="42" t="s">
        <v>667</v>
      </c>
      <c r="J87" s="41" t="s">
        <v>46</v>
      </c>
      <c r="K87" s="42"/>
      <c r="L87" s="42" t="s">
        <v>667</v>
      </c>
      <c r="M87" s="42" t="s">
        <v>667</v>
      </c>
      <c r="N87" s="42" t="s">
        <v>667</v>
      </c>
      <c r="O87" s="43"/>
    </row>
    <row r="88" ht="15.75" customHeight="1">
      <c r="A88" s="38" t="str">
        <f t="shared" si="4"/>
        <v>FT_81</v>
      </c>
      <c r="B88" s="39"/>
      <c r="C88" s="39" t="str">
        <f>IFERROR(__xludf.DUMMYFUNCTION("GOOGLETRANSLATE(FT!C88,""vi"",""ja"")"),"別のレベル 3 タグをチェックしてクリックします")</f>
        <v>別のレベル 3 タグをチェックしてクリックします</v>
      </c>
      <c r="D88" s="39" t="str">
        <f>IFERROR(__xludf.DUMMYFUNCTION("GOOGLETRANSLATE(FT!D88,""vi"",""ja"")"),"タグ レベル 1 にはレベル 2 のタグがあり、タグ レベル 2 にはレベル 3 のタグが多数あります")</f>
        <v>タグ レベル 1 にはレベル 2 のタグがあり、タグ レベル 2 にはレベル 3 のタグが多数あります</v>
      </c>
      <c r="E88" s="39" t="str">
        <f>IFERROR(__xludf.DUMMYFUNCTION("GOOGLETRANSLATE(FT!E88,""vi"",""ja"")"),"1.デジタルツール一覧画面へ
2.「絵のしゅるい」ドロップダウンをクリックします。
3. 前提条件のレベル 1 タグをクリックします。
4. レベル 2 タグをクリックします。 
5. タグレベル 3 をクリックします。
6. 手順5のタグ以外のレベル3タグをクリック ⇒ レベル3,4タグ一覧の表示を確認")</f>
        <v>1.デジタルツール一覧画面へ
2.「絵のしゅるい」ドロップダウンをクリックします。
3. 前提条件のレベル 1 タグをクリックします。
4. レベル 2 タグをクリックします。 
5. タグレベル 3 をクリックします。
6. 手順5のタグ以外のレベル3タグをクリック ⇒ レベル3,4タグ一覧の表示を確認</v>
      </c>
      <c r="F88" s="39" t="str">
        <f>IFERROR(__xludf.DUMMYFUNCTION("GOOGLETRANSLATE(FT!F88,""vi"",""ja"")"),"6. ステップ 5 のタグ レベル 3 が選択解除され、ステップ 6 のタグ レベル 3 が選択された状態で表示されます (背景 #FFCC00 を表示)。
   手順6でレベル3タグに属するレベル4タグのリストを表示します。")</f>
        <v>6. ステップ 5 のタグ レベル 3 が選択解除され、ステップ 6 のタグ レベル 3 が選択された状態で表示されます (背景 #FFCC00 を表示)。
   手順6でレベル3タグに属するレベル4タグのリストを表示します。</v>
      </c>
      <c r="G88" s="40" t="s">
        <v>45</v>
      </c>
      <c r="H88" s="41" t="s">
        <v>46</v>
      </c>
      <c r="I88" s="42" t="s">
        <v>667</v>
      </c>
      <c r="J88" s="41" t="s">
        <v>46</v>
      </c>
      <c r="K88" s="42"/>
      <c r="L88" s="42" t="s">
        <v>667</v>
      </c>
      <c r="M88" s="42" t="s">
        <v>667</v>
      </c>
      <c r="N88" s="42" t="s">
        <v>667</v>
      </c>
      <c r="O88" s="43"/>
    </row>
    <row r="89" ht="15.75" customHeight="1">
      <c r="A89" s="38" t="str">
        <f t="shared" si="4"/>
        <v>FT_82</v>
      </c>
      <c r="B89" s="39"/>
      <c r="C89" s="39" t="str">
        <f>IFERROR(__xludf.DUMMYFUNCTION("GOOGLETRANSLATE(FT!C89,""vi"",""ja"")"),"チェックすると、現在選択されているレベル 3 タグをクリックします。")</f>
        <v>チェックすると、現在選択されているレベル 3 タグをクリックします。</v>
      </c>
      <c r="D89" s="39" t="str">
        <f>IFERROR(__xludf.DUMMYFUNCTION("GOOGLETRANSLATE(FT!D89,""vi"",""ja"")"),"タグ レベル 1 にはタグ レベル 2 があり、タグ レベル 2 にはタグ レベル 3 があります。")</f>
        <v>タグ レベル 1 にはタグ レベル 2 があり、タグ レベル 2 にはタグ レベル 3 があります。</v>
      </c>
      <c r="E89" s="39" t="str">
        <f>IFERROR(__xludf.DUMMYFUNCTION("GOOGLETRANSLATE(FT!E89,""vi"",""ja"")"),"1.デジタルツール一覧画面へ
2.「絵のしゅるい」ドロップダウンをクリックします。
3. 前提条件のレベル 1 タグをクリックします。
4. レベル 2 タグをクリックします。 
5. タグレベル 3 をクリックします。 
6. 手順5で再度タグレベル3をクリック ⇒ タグリストレベル3、4の表示を確認")</f>
        <v>1.デジタルツール一覧画面へ
2.「絵のしゅるい」ドロップダウンをクリックします。
3. 前提条件のレベル 1 タグをクリックします。
4. レベル 2 タグをクリックします。 
5. タグレベル 3 をクリックします。 
6. 手順5で再度タグレベル3をクリック ⇒ タグリストレベル3、4の表示を確認</v>
      </c>
      <c r="F89" s="39" t="str">
        <f>IFERROR(__xludf.DUMMYFUNCTION("GOOGLETRANSLATE(FT!F89,""vi"",""ja"")"),"5. ステップ 5 のタグ レベル 3 の選択が解除されます。
    リストタグレベル 4 は空になります")</f>
        <v>5. ステップ 5 のタグ レベル 3 の選択が解除されます。
    リストタグレベル 4 は空になります</v>
      </c>
      <c r="G89" s="40" t="s">
        <v>45</v>
      </c>
      <c r="H89" s="41" t="s">
        <v>46</v>
      </c>
      <c r="I89" s="42" t="s">
        <v>667</v>
      </c>
      <c r="J89" s="41" t="s">
        <v>46</v>
      </c>
      <c r="K89" s="42"/>
      <c r="L89" s="42" t="s">
        <v>667</v>
      </c>
      <c r="M89" s="42" t="s">
        <v>667</v>
      </c>
      <c r="N89" s="42" t="s">
        <v>667</v>
      </c>
      <c r="O89" s="43"/>
    </row>
    <row r="90" ht="15.75" customHeight="1">
      <c r="A90" s="38" t="str">
        <f t="shared" si="4"/>
        <v>FT_83</v>
      </c>
      <c r="B90" s="39"/>
      <c r="C90" s="39" t="str">
        <f>IFERROR(__xludf.DUMMYFUNCTION("GOOGLETRANSLATE(FT!C90,""vi"",""ja"")"),"別のレベル 2 タグのクリックを確認します")</f>
        <v>別のレベル 2 タグのクリックを確認します</v>
      </c>
      <c r="D90" s="39" t="str">
        <f>IFERROR(__xludf.DUMMYFUNCTION("GOOGLETRANSLATE(FT!D90,""vi"",""ja"")"),"タグ レベル 1 には多数のレベル 2 タグがあり、タグ レベル 2 にはレベル 3 タグがあります")</f>
        <v>タグ レベル 1 には多数のレベル 2 タグがあり、タグ レベル 2 にはレベル 3 タグがあります</v>
      </c>
      <c r="E90" s="39" t="str">
        <f>IFERROR(__xludf.DUMMYFUNCTION("GOOGLETRANSLATE(FT!E90,""vi"",""ja"")"),"1.デジタルツール一覧画面へ
2.「絵のしゅるい」ドロップダウンをクリックします。
3. 前提条件のレベル 1 タグをクリックします。
4. レベル 2 タグをクリックします
5. レベル 3 タグをクリックします
6. 手順4以外のレベル2タグをクリック ⇒ レベル2,3,4タグ一覧の表示を確認")</f>
        <v>1.デジタルツール一覧画面へ
2.「絵のしゅるい」ドロップダウンをクリックします。
3. 前提条件のレベル 1 タグをクリックします。
4. レベル 2 タグをクリックします
5. レベル 3 タグをクリックします
6. 手順4以外のレベル2タグをクリック ⇒ レベル2,3,4タグ一覧の表示を確認</v>
      </c>
      <c r="F90" s="39" t="str">
        <f>IFERROR(__xludf.DUMMYFUNCTION("GOOGLETRANSLATE(FT!F90,""vi"",""ja"")"),"5. ステップ 4 のタグ レベル 2 の選択が解除され、ステップ 6 のタグ レベル 2 が選択されます。
    手順6でレベル2タグのタグレベル3リストを表示すると、レベル4タグリストは空になります。")</f>
        <v>5. ステップ 4 のタグ レベル 2 の選択が解除され、ステップ 6 のタグ レベル 2 が選択されます。
    手順6でレベル2タグのタグレベル3リストを表示すると、レベル4タグリストは空になります。</v>
      </c>
      <c r="G90" s="40" t="s">
        <v>45</v>
      </c>
      <c r="H90" s="41" t="s">
        <v>46</v>
      </c>
      <c r="I90" s="42" t="s">
        <v>667</v>
      </c>
      <c r="J90" s="41" t="s">
        <v>46</v>
      </c>
      <c r="K90" s="42"/>
      <c r="L90" s="42" t="s">
        <v>667</v>
      </c>
      <c r="M90" s="42" t="s">
        <v>667</v>
      </c>
      <c r="N90" s="42" t="s">
        <v>667</v>
      </c>
      <c r="O90" s="43"/>
    </row>
    <row r="91" ht="15.75" customHeight="1">
      <c r="A91" s="38" t="str">
        <f t="shared" si="4"/>
        <v>FT_84</v>
      </c>
      <c r="B91" s="39"/>
      <c r="C91" s="39" t="str">
        <f>IFERROR(__xludf.DUMMYFUNCTION("GOOGLETRANSLATE(FT!C91,""vi"",""ja"")"),"現在選択されているレベル 2 タグの 2 回目のクリックを確認します")</f>
        <v>現在選択されているレベル 2 タグの 2 回目のクリックを確認します</v>
      </c>
      <c r="D91" s="39" t="str">
        <f>IFERROR(__xludf.DUMMYFUNCTION("GOOGLETRANSLATE(FT!D91,""vi"",""ja"")"),"タグ レベル 1 には多数のレベル 2 タグがあり、タグ レベル 2 にはレベル 3 タグがあります")</f>
        <v>タグ レベル 1 には多数のレベル 2 タグがあり、タグ レベル 2 にはレベル 3 タグがあります</v>
      </c>
      <c r="E91" s="39" t="str">
        <f>IFERROR(__xludf.DUMMYFUNCTION("GOOGLETRANSLATE(FT!E91,""vi"",""ja"")"),"1.デジタルツール一覧画面へ
2.「絵のしゅるい」ドロップダウンをクリックします。
3. 前提条件のレベル 1 タグをクリックします。
4. レベル 2 タグをクリックします
5. レベル 3 タグをクリックします
6. 手順4でタグレベル2を再度クリック ⇒ タグレベル2,3,4の一覧表示を確認します")</f>
        <v>1.デジタルツール一覧画面へ
2.「絵のしゅるい」ドロップダウンをクリックします。
3. 前提条件のレベル 1 タグをクリックします。
4. レベル 2 タグをクリックします
5. レベル 3 タグをクリックします
6. 手順4でタグレベル2を再度クリック ⇒ タグレベル2,3,4の一覧表示を確認します</v>
      </c>
      <c r="F91" s="39" t="str">
        <f>IFERROR(__xludf.DUMMYFUNCTION("GOOGLETRANSLATE(FT!F91,""vi"",""ja"")"),"5. ステップ 4 のタグ レベル 2 の選択が解除されます。
    リストタグレベル 3、4 は空になります")</f>
        <v>5. ステップ 4 のタグ レベル 2 の選択が解除されます。
    リストタグレベル 3、4 は空になります</v>
      </c>
      <c r="G91" s="40" t="s">
        <v>45</v>
      </c>
      <c r="H91" s="41" t="s">
        <v>46</v>
      </c>
      <c r="I91" s="42" t="s">
        <v>667</v>
      </c>
      <c r="J91" s="41" t="s">
        <v>46</v>
      </c>
      <c r="K91" s="42"/>
      <c r="L91" s="42" t="s">
        <v>667</v>
      </c>
      <c r="M91" s="42" t="s">
        <v>667</v>
      </c>
      <c r="N91" s="42" t="s">
        <v>667</v>
      </c>
      <c r="O91" s="43"/>
    </row>
    <row r="92" ht="15.75" customHeight="1">
      <c r="A92" s="38" t="str">
        <f t="shared" si="4"/>
        <v>FT_85</v>
      </c>
      <c r="B92" s="39"/>
      <c r="C92" s="39" t="str">
        <f>IFERROR(__xludf.DUMMYFUNCTION("GOOGLETRANSLATE(FT!C92,""vi"",""ja"")"),"別のレベル 1 タグをクリックすることを確認します")</f>
        <v>別のレベル 1 タグをクリックすることを確認します</v>
      </c>
      <c r="D92" s="39" t="str">
        <f>IFERROR(__xludf.DUMMYFUNCTION("GOOGLETRANSLATE(FT!D92,""vi"",""ja"")"),"タグ レベル 1 にはタグ レベル 2 があり、タグ レベル 2 にはタグ レベル 3 があります。")</f>
        <v>タグ レベル 1 にはタグ レベル 2 があり、タグ レベル 2 にはタグ レベル 3 があります。</v>
      </c>
      <c r="E92" s="39" t="str">
        <f>IFERROR(__xludf.DUMMYFUNCTION("GOOGLETRANSLATE(FT!E92,""vi"",""ja"")"),"1.デジタルツール一覧画面へ
2.「絵のしゅるい」ドロップダウンをクリックします。
3. 前提条件のレベル 1 タグをクリックします。
4. レベル 2 タグをクリックします
5. レベル 3 タグをクリックします
6. 手順3のタグ以外のレベル1タグをクリック ⇒ レベル1,2,3,4タグ一覧の表示を確認")</f>
        <v>1.デジタルツール一覧画面へ
2.「絵のしゅるい」ドロップダウンをクリックします。
3. 前提条件のレベル 1 タグをクリックします。
4. レベル 2 タグをクリックします
5. レベル 3 タグをクリックします
6. 手順3のタグ以外のレベル1タグをクリック ⇒ レベル1,2,3,4タグ一覧の表示を確認</v>
      </c>
      <c r="F92" s="39" t="str">
        <f>IFERROR(__xludf.DUMMYFUNCTION("GOOGLETRANSLATE(FT!F92,""vi"",""ja"")"),"5. ステップ 3 のタグ レベル 1 が選択解除され、ステップ 6 のタグ レベル 1 が選択されます。
    手順 6 でレベル 1 タグのタグ レベル 2 リストを表示すると、タグ レベル 3 と 4 のリストは空になります。")</f>
        <v>5. ステップ 3 のタグ レベル 1 が選択解除され、ステップ 6 のタグ レベル 1 が選択されます。
    手順 6 でレベル 1 タグのタグ レベル 2 リストを表示すると、タグ レベル 3 と 4 のリストは空になります。</v>
      </c>
      <c r="G92" s="40" t="s">
        <v>45</v>
      </c>
      <c r="H92" s="41" t="s">
        <v>46</v>
      </c>
      <c r="I92" s="42" t="s">
        <v>667</v>
      </c>
      <c r="J92" s="41" t="s">
        <v>46</v>
      </c>
      <c r="K92" s="42"/>
      <c r="L92" s="42" t="s">
        <v>667</v>
      </c>
      <c r="M92" s="42" t="s">
        <v>667</v>
      </c>
      <c r="N92" s="42" t="s">
        <v>667</v>
      </c>
      <c r="O92" s="43"/>
    </row>
    <row r="93" ht="15.75" customHeight="1">
      <c r="A93" s="38" t="str">
        <f t="shared" si="4"/>
        <v>FT_86</v>
      </c>
      <c r="B93" s="39"/>
      <c r="C93" s="39" t="str">
        <f>IFERROR(__xludf.DUMMYFUNCTION("GOOGLETRANSLATE(FT!C93,""vi"",""ja"")"),"現在選択されているレベル 1 タグの 2 回目のクリックを確認します")</f>
        <v>現在選択されているレベル 1 タグの 2 回目のクリックを確認します</v>
      </c>
      <c r="D93" s="39" t="str">
        <f>IFERROR(__xludf.DUMMYFUNCTION("GOOGLETRANSLATE(FT!D93,""vi"",""ja"")"),"タグ レベル 1 にはタグ レベル 2 があり、タグ レベル 2 にはタグ レベル 3 があります。")</f>
        <v>タグ レベル 1 にはタグ レベル 2 があり、タグ レベル 2 にはタグ レベル 3 があります。</v>
      </c>
      <c r="E93" s="39" t="str">
        <f>IFERROR(__xludf.DUMMYFUNCTION("GOOGLETRANSLATE(FT!E93,""vi"",""ja"")"),"1.デジタルツール一覧画面へ
2.「絵のしゅるい」ドロップダウンをクリックします。
3. 前提条件のレベル 1 タグをクリックします。
4. レベル 2 タグをクリックします
5. レベル 3 タグをクリックします
6. 手順3でタグレベル1を再度クリック ⇒ タグレベル1,2,3,4の一覧表示を確認します")</f>
        <v>1.デジタルツール一覧画面へ
2.「絵のしゅるい」ドロップダウンをクリックします。
3. 前提条件のレベル 1 タグをクリックします。
4. レベル 2 タグをクリックします
5. レベル 3 タグをクリックします
6. 手順3でタグレベル1を再度クリック ⇒ タグレベル1,2,3,4の一覧表示を確認します</v>
      </c>
      <c r="F93" s="39" t="str">
        <f>IFERROR(__xludf.DUMMYFUNCTION("GOOGLETRANSLATE(FT!F93,""vi"",""ja"")"),"5. ステップ 3 のタグ レベル 1 の選択が解除されます。
    リストタグレベル 2、3、4 は空になります")</f>
        <v>5. ステップ 3 のタグ レベル 1 の選択が解除されます。
    リストタグレベル 2、3、4 は空になります</v>
      </c>
      <c r="G93" s="40" t="s">
        <v>45</v>
      </c>
      <c r="H93" s="41" t="s">
        <v>46</v>
      </c>
      <c r="I93" s="42" t="s">
        <v>667</v>
      </c>
      <c r="J93" s="41" t="s">
        <v>46</v>
      </c>
      <c r="K93" s="42"/>
      <c r="L93" s="42" t="s">
        <v>667</v>
      </c>
      <c r="M93" s="42" t="s">
        <v>667</v>
      </c>
      <c r="N93" s="42" t="s">
        <v>667</v>
      </c>
      <c r="O93" s="43"/>
    </row>
    <row r="94" ht="15.75" customHeight="1">
      <c r="A94" s="38" t="str">
        <f t="shared" si="4"/>
        <v>FT_87</v>
      </c>
      <c r="B94" s="39"/>
      <c r="C94" s="39" t="str">
        <f>IFERROR(__xludf.DUMMYFUNCTION("GOOGLETRANSLATE(FT!C94,""vi"",""ja"")"),"クリックしてタグ レベル 4 を選択することを確認します。")</f>
        <v>クリックしてタグ レベル 4 を選択することを確認します。</v>
      </c>
      <c r="D94" s="39" t="str">
        <f>IFERROR(__xludf.DUMMYFUNCTION("GOOGLETRANSLATE(FT!D94,""vi"",""ja"")"),"タグ レベル 1 にはタグ レベル 2 があります
タグ レベル 2 にはタグ レベル 3 があります
タグ レベル 3 にはタグ レベル 4 があります")</f>
        <v>タグ レベル 1 にはタグ レベル 2 があります
タグ レベル 2 にはタグ レベル 3 があります
タグ レベル 3 にはタグ レベル 4 があります</v>
      </c>
      <c r="E94" s="39" t="str">
        <f>IFERROR(__xludf.DUMMYFUNCTION("GOOGLETRANSLATE(FT!E94,""vi"",""ja"")"),"1.デジタルツール一覧画面へ
2.「絵のしゅるい」ドロップダウンをクリックします。
3. 前提条件のレベル 1 タグをクリックします。
4. レベル 2 タグをクリックします
5. レベル 3 タグをクリックします
6. レベル4タグをクリック =&gt; 表示を確認")</f>
        <v>1.デジタルツール一覧画面へ
2.「絵のしゅるい」ドロップダウンをクリックします。
3. 前提条件のレベル 1 タグをクリックします。
4. レベル 2 タグをクリックします
5. レベル 3 タグをクリックします
6. レベル4タグをクリック =&gt; 表示を確認</v>
      </c>
      <c r="F94" s="72" t="str">
        <f>IFERROR(__xludf.DUMMYFUNCTION("GOOGLETRANSLATE(FT!F94,""vi"",""ja"")"),"6. タグレベル 4 が選択されています (背景 #FFCC00 が表示されます)。")</f>
        <v>6. タグレベル 4 が選択されています (背景 #FFCC00 が表示されます)。</v>
      </c>
      <c r="G94" s="40" t="s">
        <v>45</v>
      </c>
      <c r="H94" s="41" t="s">
        <v>46</v>
      </c>
      <c r="I94" s="42" t="s">
        <v>667</v>
      </c>
      <c r="J94" s="41" t="s">
        <v>46</v>
      </c>
      <c r="K94" s="42"/>
      <c r="L94" s="73" t="s">
        <v>667</v>
      </c>
      <c r="M94" s="73" t="s">
        <v>667</v>
      </c>
      <c r="N94" s="73" t="s">
        <v>667</v>
      </c>
      <c r="O94" s="43"/>
    </row>
    <row r="95" ht="15.75" customHeight="1">
      <c r="A95" s="38" t="str">
        <f t="shared" si="4"/>
        <v>FT_88</v>
      </c>
      <c r="B95" s="39"/>
      <c r="C95" s="39" t="str">
        <f>IFERROR(__xludf.DUMMYFUNCTION("GOOGLETRANSLATE(FT!C95,""vi"",""ja"")"),"レベル4のタグが選択されてクリックされていることを確認します")</f>
        <v>レベル4のタグが選択されてクリックされていることを確認します</v>
      </c>
      <c r="D95" s="39" t="str">
        <f>IFERROR(__xludf.DUMMYFUNCTION("GOOGLETRANSLATE(FT!D95,""vi"",""ja"")"),"タグ レベル 1 にはタグ レベル 2 があります
タグ レベル 2 にはタグ レベル 3 があります
タグ レベル 3 にはタグ レベル 4 があります")</f>
        <v>タグ レベル 1 にはタグ レベル 2 があります
タグ レベル 2 にはタグ レベル 3 があります
タグ レベル 3 にはタグ レベル 4 があります</v>
      </c>
      <c r="E95" s="39" t="str">
        <f>IFERROR(__xludf.DUMMYFUNCTION("GOOGLETRANSLATE(FT!E95,""vi"",""ja"")"),"1.デジタルツール一覧画面へ
2.「絵のしゅるい」ドロップダウンをクリックします。
3. 前提条件のレベル 1 タグをクリックします。
4. レベル 2 タグをクリックします
5. レベル 3 タグをクリックします
6. レベル 4 のタグをクリックします
7. 手順 6 のタグレベル 4 を再度クリック =&gt; 表示を確認します")</f>
        <v>1.デジタルツール一覧画面へ
2.「絵のしゅるい」ドロップダウンをクリックします。
3. 前提条件のレベル 1 タグをクリックします。
4. レベル 2 タグをクリックします
5. レベル 3 タグをクリックします
6. レベル 4 のタグをクリックします
7. 手順 6 のタグレベル 4 を再度クリック =&gt; 表示を確認します</v>
      </c>
      <c r="F95" s="72" t="str">
        <f>IFERROR(__xludf.DUMMYFUNCTION("GOOGLETRANSLATE(FT!F95,""vi"",""ja"")"),"7. タグ レベル 4 の選択が解除されます (背景 #FFCC00 が失われます)")</f>
        <v>7. タグ レベル 4 の選択が解除されます (背景 #FFCC00 が失われます)</v>
      </c>
      <c r="G95" s="40" t="s">
        <v>45</v>
      </c>
      <c r="H95" s="41" t="s">
        <v>46</v>
      </c>
      <c r="I95" s="42" t="s">
        <v>667</v>
      </c>
      <c r="J95" s="41" t="s">
        <v>46</v>
      </c>
      <c r="K95" s="42"/>
      <c r="L95" s="73" t="s">
        <v>667</v>
      </c>
      <c r="M95" s="73" t="s">
        <v>667</v>
      </c>
      <c r="N95" s="73" t="s">
        <v>667</v>
      </c>
      <c r="O95" s="43"/>
    </row>
    <row r="96" ht="15.75" customHeight="1">
      <c r="A96" s="38" t="str">
        <f t="shared" si="4"/>
        <v>FT_89</v>
      </c>
      <c r="B96" s="39" t="str">
        <f>IFERROR(__xludf.DUMMYFUNCTION("GOOGLETRANSLATE(FT!B96,""vi"",""ja"")"),"タグを選択せず​​に検索をテストします")</f>
        <v>タグを選択せず​​に検索をテストします</v>
      </c>
      <c r="C96" s="39" t="str">
        <f>IFERROR(__xludf.DUMMYFUNCTION("GOOGLETRANSLATE(FT!C96,""vi"",""ja"")"),"タグを選択せず​​に検索を確認する")</f>
        <v>タグを選択せず​​に検索を確認する</v>
      </c>
      <c r="D96" s="39" t="str">
        <f>IFERROR(__xludf.DUMMYFUNCTION("GOOGLETRANSLATE(FT!D96,""vi"",""ja"")"),"1.デジタルツール一覧画面へ
2.「絵のしゅるい」ドロップダウンをクリックします。
3.「さがす」ボタンをクリック")</f>
        <v>1.デジタルツール一覧画面へ
2.「絵のしゅるい」ドロップダウンをクリックします。
3.「さがす」ボタンをクリック</v>
      </c>
      <c r="E96" s="39" t="str">
        <f>IFERROR(__xludf.DUMMYFUNCTION("GOOGLETRANSLATE(FT!E96,""vi"",""ja"")"),"1. 検索結果画面へ
2. パンくずリストの表示を確認する
3. 表示されたデータ一覧を確認する")</f>
        <v>1. 検索結果画面へ
2. パンくずリストの表示を確認する
3. 表示されたデータ一覧を確認する</v>
      </c>
      <c r="F96" s="72" t="str">
        <f>IFERROR(__xludf.DUMMYFUNCTION("GOOGLETRANSLATE(FT!F96,""vi"",""ja"")"),"2. 結果画面を「:絵のしゅるい」という文字だけのクリックできないパンくずリストで表示する
3. リストデータはカテゴリーに属する全てのデジタルツールです")</f>
        <v>2. 結果画面を「:絵のしゅるい」という文字だけのクリックできないパンくずリストで表示する
3. リストデータはカテゴリーに属する全てのデジタルツールです</v>
      </c>
      <c r="G96" s="40" t="s">
        <v>45</v>
      </c>
      <c r="H96" s="41" t="s">
        <v>46</v>
      </c>
      <c r="I96" s="42" t="s">
        <v>667</v>
      </c>
      <c r="J96" s="41" t="s">
        <v>46</v>
      </c>
      <c r="K96" s="42"/>
      <c r="L96" s="73" t="s">
        <v>667</v>
      </c>
      <c r="M96" s="73" t="s">
        <v>667</v>
      </c>
      <c r="N96" s="73" t="s">
        <v>667</v>
      </c>
      <c r="O96" s="43"/>
    </row>
    <row r="97" ht="15.75" customHeight="1">
      <c r="A97" s="38" t="str">
        <f t="shared" si="4"/>
        <v>FT_90</v>
      </c>
      <c r="B97" s="39" t="str">
        <f>IFERROR(__xludf.DUMMYFUNCTION("GOOGLETRANSLATE(FT!B97,""vi"",""ja"")"),"タグレベル 1 でのテスト検索")</f>
        <v>タグレベル 1 でのテスト検索</v>
      </c>
      <c r="C97" s="39" t="str">
        <f>IFERROR(__xludf.DUMMYFUNCTION("GOOGLETRANSLATE(FT!C97,""vi"",""ja"")"),"タグレベル 1 でのテスト検索")</f>
        <v>タグレベル 1 でのテスト検索</v>
      </c>
      <c r="D97" s="39" t="str">
        <f>IFERROR(__xludf.DUMMYFUNCTION("GOOGLETRANSLATE(FT!D97,""vi"",""ja"")"),"1.デジタルツール一覧画面へ
2.「絵のしゅるい」ドロップダウンをクリックします。
3. デジタル ツール イメージを含むレベル 1 タグをクリックして選択します
4.「さがす」ボタンをクリック")</f>
        <v>1.デジタルツール一覧画面へ
2.「絵のしゅるい」ドロップダウンをクリックします。
3. デジタル ツール イメージを含むレベル 1 タグをクリックして選択します
4.「さがす」ボタンをクリック</v>
      </c>
      <c r="E97" s="39" t="str">
        <f>IFERROR(__xludf.DUMMYFUNCTION("GOOGLETRANSLATE(FT!E97,""vi"",""ja"")"),"1. 検索結果画面へ
2. パンくずリストの表示を確認する
3. 表示されたデータ一覧を確認する")</f>
        <v>1. 検索結果画面へ
2. パンくずリストの表示を確認する
3. 表示されたデータ一覧を確認する</v>
      </c>
      <c r="F97" s="39" t="str">
        <f>IFERROR(__xludf.DUMMYFUNCTION("GOOGLETRANSLATE(FT!F97,""vi"",""ja"")"),"2.パンくずリストで結果画面を表示：絵のしゅるい &gt; [第1層タグ] 
絵のしゅるいはリンクテキスト、[第1層タグ]はテキストです
3. リストデータには、タグレベル 1 に属するすべてのデジタルツールが表示されます")</f>
        <v>2.パンくずリストで結果画面を表示：絵のしゅるい &gt; [第1層タグ] 
絵のしゅるいはリンクテキスト、[第1層タグ]はテキストです
3. リストデータには、タグレベル 1 に属するすべてのデジタルツールが表示されます</v>
      </c>
      <c r="G97" s="40" t="s">
        <v>45</v>
      </c>
      <c r="H97" s="41" t="s">
        <v>46</v>
      </c>
      <c r="I97" s="42" t="s">
        <v>667</v>
      </c>
      <c r="J97" s="41" t="s">
        <v>46</v>
      </c>
      <c r="K97" s="42"/>
      <c r="L97" s="73" t="s">
        <v>667</v>
      </c>
      <c r="M97" s="73" t="s">
        <v>667</v>
      </c>
      <c r="N97" s="73" t="s">
        <v>667</v>
      </c>
      <c r="O97" s="43"/>
    </row>
    <row r="98" ht="15.75" customHeight="1">
      <c r="A98" s="38" t="str">
        <f t="shared" si="4"/>
        <v>FT_91</v>
      </c>
      <c r="B98" s="39"/>
      <c r="C98" s="39"/>
      <c r="D98" s="39" t="str">
        <f>IFERROR(__xludf.DUMMYFUNCTION("GOOGLETRANSLATE(FT!D98,""vi"",""ja"")"),"1.デジタルツール一覧画面へ
2.「絵のしゅるい」ドロップダウンをクリックします。
3. デジタル ツール イメージのないレベル 1 タグをクリックして選択します
4.「さがす」ボタンをクリック")</f>
        <v>1.デジタルツール一覧画面へ
2.「絵のしゅるい」ドロップダウンをクリックします。
3. デジタル ツール イメージのないレベル 1 タグをクリックして選択します
4.「さがす」ボタンをクリック</v>
      </c>
      <c r="E98" s="39" t="str">
        <f>IFERROR(__xludf.DUMMYFUNCTION("GOOGLETRANSLATE(FT!E98,""vi"",""ja"")"),"1. 検索結果画面へ
2. パンくずリストの表示を確認する
3. 表示されたデータ一覧を確認する")</f>
        <v>1. 検索結果画面へ
2. パンくずリストの表示を確認する
3. 表示されたデータ一覧を確認する</v>
      </c>
      <c r="F98" s="39" t="str">
        <f>IFERROR(__xludf.DUMMYFUNCTION("GOOGLETRANSLATE(FT!F98,""vi"",""ja"")"),"2.パンくずリストで結果画面を表示：絵のしゅるい &gt; [第1層タグ] 
絵のしゅるいはリンクテキスト、[第1層タグ]はテキストです
3. リストデータが空です")</f>
        <v>2.パンくずリストで結果画面を表示：絵のしゅるい &gt; [第1層タグ] 
絵のしゅるいはリンクテキスト、[第1層タグ]はテキストです
3. リストデータが空です</v>
      </c>
      <c r="G98" s="40" t="s">
        <v>45</v>
      </c>
      <c r="H98" s="41" t="s">
        <v>46</v>
      </c>
      <c r="I98" s="42" t="s">
        <v>667</v>
      </c>
      <c r="J98" s="41" t="s">
        <v>46</v>
      </c>
      <c r="K98" s="42"/>
      <c r="L98" s="73" t="s">
        <v>667</v>
      </c>
      <c r="M98" s="73" t="s">
        <v>667</v>
      </c>
      <c r="N98" s="73" t="s">
        <v>667</v>
      </c>
      <c r="O98" s="43"/>
    </row>
    <row r="99" ht="15.75" customHeight="1">
      <c r="A99" s="38" t="str">
        <f t="shared" si="4"/>
        <v>FT_92</v>
      </c>
      <c r="B99" s="39"/>
      <c r="C99" s="39" t="str">
        <f>IFERROR(__xludf.DUMMYFUNCTION("GOOGLETRANSLATE(FT!C99,""vi"",""ja"")"),"パンくずリストの表示を確認する")</f>
        <v>パンくずリストの表示を確認する</v>
      </c>
      <c r="D99" s="39" t="str">
        <f>IFERROR(__xludf.DUMMYFUNCTION("GOOGLETRANSLATE(FT!D99,""vi"",""ja"")"),"1.デジタルツール一覧画面へ
2.「絵のしゅるい」ドロップダウンをクリックします。
3. 名前が 10 文字以下のレベル 1 タグをクリックして選択します
4.「さがす」ボタンをクリック")</f>
        <v>1.デジタルツール一覧画面へ
2.「絵のしゅるい」ドロップダウンをクリックします。
3. 名前が 10 文字以下のレベル 1 タグをクリックして選択します
4.「さがす」ボタンをクリック</v>
      </c>
      <c r="E99" s="39" t="str">
        <f>IFERROR(__xludf.DUMMYFUNCTION("GOOGLETRANSLATE(FT!E99,""vi"",""ja"")"),"1. 検索結果画面へ
2. パンくずリストの表示を確認する")</f>
        <v>1. 検索結果画面へ
2. パンくずリストの表示を確認する</v>
      </c>
      <c r="F99" s="39" t="str">
        <f>IFERROR(__xludf.DUMMYFUNCTION("GOOGLETRANSLATE(FT!F99,""vi"",""ja"")"),"2. レベル 1 のタグ名が完全に表示されます")</f>
        <v>2. レベル 1 のタグ名が完全に表示されます</v>
      </c>
      <c r="G99" s="40" t="s">
        <v>45</v>
      </c>
      <c r="H99" s="41" t="s">
        <v>46</v>
      </c>
      <c r="I99" s="42" t="s">
        <v>667</v>
      </c>
      <c r="J99" s="41" t="s">
        <v>46</v>
      </c>
      <c r="K99" s="42"/>
      <c r="L99" s="73" t="s">
        <v>667</v>
      </c>
      <c r="M99" s="73" t="s">
        <v>667</v>
      </c>
      <c r="N99" s="73" t="s">
        <v>667</v>
      </c>
      <c r="O99" s="43"/>
    </row>
    <row r="100" ht="15.75" customHeight="1">
      <c r="A100" s="38" t="str">
        <f t="shared" si="4"/>
        <v>FT_93</v>
      </c>
      <c r="B100" s="39"/>
      <c r="C100" s="39"/>
      <c r="D100" s="39" t="str">
        <f>IFERROR(__xludf.DUMMYFUNCTION("GOOGLETRANSLATE(FT!D100,""vi"",""ja"")"),"1.デジタルツール一覧画面へ
2.「絵のしゅるい」ドロップダウンをクリックします。
3. 10 文字を超える名前を持つレベル 1 タグをクリックして選択します
4.「さがす」ボタンをクリック")</f>
        <v>1.デジタルツール一覧画面へ
2.「絵のしゅるい」ドロップダウンをクリックします。
3. 10 文字を超える名前を持つレベル 1 タグをクリックして選択します
4.「さがす」ボタンをクリック</v>
      </c>
      <c r="E100" s="39" t="str">
        <f>IFERROR(__xludf.DUMMYFUNCTION("GOOGLETRANSLATE(FT!E100,""vi"",""ja"")"),"1. 検索結果画面へ
2. パンくずリストの表示を確認する")</f>
        <v>1. 検索結果画面へ
2. パンくずリストの表示を確認する</v>
      </c>
      <c r="F100" s="39" t="str">
        <f>IFERROR(__xludf.DUMMYFUNCTION("GOOGLETRANSLATE(FT!F100,""vi"",""ja"")"),"2. レベル1タグ名は10文字表示、11文字目以降は切り捨て")</f>
        <v>2. レベル1タグ名は10文字表示、11文字目以降は切り捨て</v>
      </c>
      <c r="G100" s="40" t="s">
        <v>45</v>
      </c>
      <c r="H100" s="41" t="s">
        <v>46</v>
      </c>
      <c r="I100" s="42" t="s">
        <v>667</v>
      </c>
      <c r="J100" s="41" t="s">
        <v>46</v>
      </c>
      <c r="K100" s="42"/>
      <c r="L100" s="73" t="s">
        <v>667</v>
      </c>
      <c r="M100" s="73" t="s">
        <v>667</v>
      </c>
      <c r="N100" s="73" t="s">
        <v>667</v>
      </c>
      <c r="O100" s="43"/>
    </row>
    <row r="101" ht="15.75" customHeight="1">
      <c r="A101" s="38" t="str">
        <f t="shared" si="4"/>
        <v>FT_94</v>
      </c>
      <c r="B101" s="39"/>
      <c r="C101" s="39" t="str">
        <f>IFERROR(__xludf.DUMMYFUNCTION("GOOGLETRANSLATE(FT!C101,""vi"",""ja"")"),"パンくずリストをクリックして確認してください")</f>
        <v>パンくずリストをクリックして確認してください</v>
      </c>
      <c r="D101" s="39" t="str">
        <f>IFERROR(__xludf.DUMMYFUNCTION("GOOGLETRANSLATE(FT!D101,""vi"",""ja"")"),"1.デジタルツール一覧画面へ
2.「絵のしゅるい」ドロップダウンをクリックします。
3. デジタル ツール イメージを含むレベル 1 タグをクリックして選択します
4.「さがす」ボタンをクリック")</f>
        <v>1.デジタルツール一覧画面へ
2.「絵のしゅるい」ドロップダウンをクリックします。
3. デジタル ツール イメージを含むレベル 1 タグをクリックして選択します
4.「さがす」ボタンをクリック</v>
      </c>
      <c r="E101" s="39" t="str">
        <f>IFERROR(__xludf.DUMMYFUNCTION("GOOGLETRANSLATE(FT!E101,""vi"",""ja"")"),"1. 検索結果画面へ
2. パンくずリストの「絵のしゅるい」リンクをクリック時にチェック")</f>
        <v>1. 検索結果画面へ
2. パンくずリストの「絵のしゅるい」リンクをクリック時にチェック</v>
      </c>
      <c r="F101" s="39" t="str">
        <f>IFERROR(__xludf.DUMMYFUNCTION("GOOGLETRANSLATE(FT!F101,""vi"",""ja"")"),"2. 結果画面を「:絵のしゅるい」という文字だけのクリックできないパンくずリストで表示する
    リストデータはカテゴリに属する​​すべてのデジタルツールです")</f>
        <v>2. 結果画面を「:絵のしゅるい」という文字だけのクリックできないパンくずリストで表示する
    リストデータはカテゴリに属する​​すべてのデジタルツールです</v>
      </c>
      <c r="G101" s="40" t="s">
        <v>45</v>
      </c>
      <c r="H101" s="41" t="s">
        <v>46</v>
      </c>
      <c r="I101" s="42" t="s">
        <v>667</v>
      </c>
      <c r="J101" s="41" t="s">
        <v>46</v>
      </c>
      <c r="K101" s="42"/>
      <c r="L101" s="42" t="s">
        <v>667</v>
      </c>
      <c r="M101" s="42" t="s">
        <v>667</v>
      </c>
      <c r="N101" s="42" t="s">
        <v>667</v>
      </c>
      <c r="O101" s="43"/>
    </row>
    <row r="102" ht="15.75" customHeight="1">
      <c r="A102" s="38" t="str">
        <f t="shared" si="4"/>
        <v>FT_95</v>
      </c>
      <c r="B102" s="39" t="str">
        <f>IFERROR(__xludf.DUMMYFUNCTION("GOOGLETRANSLATE(FT!B102,""vi"",""ja"")"),"タグレベル 2 でのテスト検索")</f>
        <v>タグレベル 2 でのテスト検索</v>
      </c>
      <c r="C102" s="39" t="str">
        <f>IFERROR(__xludf.DUMMYFUNCTION("GOOGLETRANSLATE(FT!C102,""vi"",""ja"")"),"タグレベル 2 を選択したときに検索をチェックする")</f>
        <v>タグレベル 2 を選択したときに検索をチェックする</v>
      </c>
      <c r="D102" s="39" t="str">
        <f>IFERROR(__xludf.DUMMYFUNCTION("GOOGLETRANSLATE(FT!D102,""vi"",""ja"")"),"1.デジタルツール一覧画面へ
2.「絵のしゅるい」ドロップダウンをクリックします。
3. レベル 2 タグを持つレベル 1 タグをクリックして選択します
4. デジタルツールでレベル 2 タグをクリックして選択します
5.「さがす」ボタンをクリック")</f>
        <v>1.デジタルツール一覧画面へ
2.「絵のしゅるい」ドロップダウンをクリックします。
3. レベル 2 タグを持つレベル 1 タグをクリックして選択します
4. デジタルツールでレベル 2 タグをクリックして選択します
5.「さがす」ボタンをクリック</v>
      </c>
      <c r="E102" s="39" t="str">
        <f>IFERROR(__xludf.DUMMYFUNCTION("GOOGLETRANSLATE(FT!E102,""vi"",""ja"")"),"1. 検索結果画面へ
2. パンくずリストの表示を確認する
3. 表示されたデータ一覧を確認する")</f>
        <v>1. 検索結果画面へ
2. パンくずリストの表示を確認する
3. 表示されたデータ一覧を確認する</v>
      </c>
      <c r="F102" s="39" t="str">
        <f>IFERROR(__xludf.DUMMYFUNCTION("GOOGLETRANSLATE(FT!F102,""vi"",""ja"")"),"2. パンくずリストで結果画面を表示:絵のしゅるい &gt; [第1層タグ] &gt; [第2タグ層]
と ： 
     絵のしゅるい、[第1層タグ]はクリック可能なテキストリンクです 
      [第2層タグ]はクリックできないテキストです
3. リストデータには、タグレベル 2 に属するすべてのデジタルツールが表示されます")</f>
        <v>2. パンくずリストで結果画面を表示:絵のしゅるい &gt; [第1層タグ] &gt; [第2タグ層]
と ： 
     絵のしゅるい、[第1層タグ]はクリック可能なテキストリンクです 
      [第2層タグ]はクリックできないテキストです
3. リストデータには、タグレベル 2 に属するすべてのデジタルツールが表示されます</v>
      </c>
      <c r="G102" s="40" t="s">
        <v>45</v>
      </c>
      <c r="H102" s="41" t="s">
        <v>46</v>
      </c>
      <c r="I102" s="42" t="s">
        <v>667</v>
      </c>
      <c r="J102" s="41" t="s">
        <v>46</v>
      </c>
      <c r="K102" s="42"/>
      <c r="L102" s="42" t="s">
        <v>667</v>
      </c>
      <c r="M102" s="42" t="s">
        <v>667</v>
      </c>
      <c r="N102" s="42" t="s">
        <v>667</v>
      </c>
      <c r="O102" s="43"/>
    </row>
    <row r="103" ht="15.75" customHeight="1">
      <c r="A103" s="38" t="str">
        <f t="shared" si="4"/>
        <v>FT_96</v>
      </c>
      <c r="B103" s="39"/>
      <c r="C103" s="39"/>
      <c r="D103" s="39" t="str">
        <f>IFERROR(__xludf.DUMMYFUNCTION("GOOGLETRANSLATE(FT!D103,""vi"",""ja"")"),"1.デジタルツール一覧画面へ
2.「絵のしゅるい」ドロップダウンをクリックします。
3. レベル 2 タグを持つレベル 1 タグをクリックして選択します
4. デジタルツールを使用せずにレベル 2 タグをクリックして選択します
5.「さがす」ボタンをクリック")</f>
        <v>1.デジタルツール一覧画面へ
2.「絵のしゅるい」ドロップダウンをクリックします。
3. レベル 2 タグを持つレベル 1 タグをクリックして選択します
4. デジタルツールを使用せずにレベル 2 タグをクリックして選択します
5.「さがす」ボタンをクリック</v>
      </c>
      <c r="E103" s="39" t="str">
        <f>IFERROR(__xludf.DUMMYFUNCTION("GOOGLETRANSLATE(FT!E103,""vi"",""ja"")"),"1. 検索結果画面へ
2. パンくずリストの表示を確認する
3. 表示されたデータ一覧を確認する")</f>
        <v>1. 検索結果画面へ
2. パンくずリストの表示を確認する
3. 表示されたデータ一覧を確認する</v>
      </c>
      <c r="F103" s="39" t="str">
        <f>IFERROR(__xludf.DUMMYFUNCTION("GOOGLETRANSLATE(FT!F103,""vi"",""ja"")"),"2. パンくずリストで結果画面を表示:絵のしゅるい &gt; [第1層タグ] &gt; [第2タグ層]
と ： 
     絵のしゅるい、[第1層タグ]はクリック可能なテキストリンクです 
      [第2層タグ]はクリックできないテキストです
3. リストデータが空です")</f>
        <v>2. パンくずリストで結果画面を表示:絵のしゅるい &gt; [第1層タグ] &gt; [第2タグ層]
と ： 
     絵のしゅるい、[第1層タグ]はクリック可能なテキストリンクです 
      [第2層タグ]はクリックできないテキストです
3. リストデータが空です</v>
      </c>
      <c r="G103" s="40" t="s">
        <v>45</v>
      </c>
      <c r="H103" s="41" t="s">
        <v>46</v>
      </c>
      <c r="I103" s="42" t="s">
        <v>667</v>
      </c>
      <c r="J103" s="41" t="s">
        <v>46</v>
      </c>
      <c r="K103" s="42"/>
      <c r="L103" s="42" t="s">
        <v>667</v>
      </c>
      <c r="M103" s="42" t="s">
        <v>667</v>
      </c>
      <c r="N103" s="42" t="s">
        <v>667</v>
      </c>
      <c r="O103" s="43"/>
    </row>
    <row r="104" ht="15.75" customHeight="1">
      <c r="A104" s="38" t="str">
        <f t="shared" si="4"/>
        <v>FT_97</v>
      </c>
      <c r="B104" s="39"/>
      <c r="C104" s="39" t="str">
        <f>IFERROR(__xludf.DUMMYFUNCTION("GOOGLETRANSLATE(FT!C104,""vi"",""ja"")"),"パンくずリストの表示を確認する")</f>
        <v>パンくずリストの表示を確認する</v>
      </c>
      <c r="D104" s="39" t="str">
        <f>IFERROR(__xludf.DUMMYFUNCTION("GOOGLETRANSLATE(FT!D104,""vi"",""ja"")"),"1.デジタルツール一覧画面へ
2.「絵のしゅるい」ドロップダウンをクリックします。
3. レベル 2 タグを持つレベル 1 タグをクリックして選択します
4. 名前が 10 文字以下のレベル 2 タグをクリックして選択します
5.「さがす」ボタンをクリック")</f>
        <v>1.デジタルツール一覧画面へ
2.「絵のしゅるい」ドロップダウンをクリックします。
3. レベル 2 タグを持つレベル 1 タグをクリックして選択します
4. 名前が 10 文字以下のレベル 2 タグをクリックして選択します
5.「さがす」ボタンをクリック</v>
      </c>
      <c r="E104" s="39" t="str">
        <f>IFERROR(__xludf.DUMMYFUNCTION("GOOGLETRANSLATE(FT!E104,""vi"",""ja"")"),"1. 検索結果画面へ
2. パンくずリストの表示を確認する")</f>
        <v>1. 検索結果画面へ
2. パンくずリストの表示を確認する</v>
      </c>
      <c r="F104" s="39" t="str">
        <f>IFERROR(__xludf.DUMMYFUNCTION("GOOGLETRANSLATE(FT!F104,""vi"",""ja"")"),"2. レベル 2 のタグ名が完全に表示されます")</f>
        <v>2. レベル 2 のタグ名が完全に表示されます</v>
      </c>
      <c r="G104" s="40" t="s">
        <v>45</v>
      </c>
      <c r="H104" s="41" t="s">
        <v>46</v>
      </c>
      <c r="I104" s="42" t="s">
        <v>667</v>
      </c>
      <c r="J104" s="41" t="s">
        <v>46</v>
      </c>
      <c r="K104" s="42"/>
      <c r="L104" s="42" t="s">
        <v>667</v>
      </c>
      <c r="M104" s="42" t="s">
        <v>667</v>
      </c>
      <c r="N104" s="42" t="s">
        <v>667</v>
      </c>
      <c r="O104" s="43"/>
    </row>
    <row r="105" ht="15.75" customHeight="1">
      <c r="A105" s="38" t="str">
        <f t="shared" si="4"/>
        <v>FT_98</v>
      </c>
      <c r="B105" s="39"/>
      <c r="C105" s="39"/>
      <c r="D105" s="39" t="str">
        <f>IFERROR(__xludf.DUMMYFUNCTION("GOOGLETRANSLATE(FT!D105,""vi"",""ja"")"),"1.デジタルツール一覧画面へ
2.「絵のしゅるい」ドロップダウンをクリックします。
3. レベル 2 タグを持つレベル 1 タグをクリックして選択します
4. 名前が 10 文字を超えるレベル 2 タグをクリックして選択します
5.「さがす」ボタンをクリック")</f>
        <v>1.デジタルツール一覧画面へ
2.「絵のしゅるい」ドロップダウンをクリックします。
3. レベル 2 タグを持つレベル 1 タグをクリックして選択します
4. 名前が 10 文字を超えるレベル 2 タグをクリックして選択します
5.「さがす」ボタンをクリック</v>
      </c>
      <c r="E105" s="39" t="str">
        <f>IFERROR(__xludf.DUMMYFUNCTION("GOOGLETRANSLATE(FT!E105,""vi"",""ja"")"),"1. 検索結果画面へ
2. パンくずリストの表示を確認する")</f>
        <v>1. 検索結果画面へ
2. パンくずリストの表示を確認する</v>
      </c>
      <c r="F105" s="39" t="str">
        <f>IFERROR(__xludf.DUMMYFUNCTION("GOOGLETRANSLATE(FT!F105,""vi"",""ja"")"),"2. レベル2のタグ名は10文字表示され、11文字目以降が切り捨てられます。")</f>
        <v>2. レベル2のタグ名は10文字表示され、11文字目以降が切り捨てられます。</v>
      </c>
      <c r="G105" s="40" t="s">
        <v>45</v>
      </c>
      <c r="H105" s="41" t="s">
        <v>46</v>
      </c>
      <c r="I105" s="42" t="s">
        <v>667</v>
      </c>
      <c r="J105" s="41" t="s">
        <v>46</v>
      </c>
      <c r="K105" s="42"/>
      <c r="L105" s="42" t="s">
        <v>667</v>
      </c>
      <c r="M105" s="42" t="s">
        <v>667</v>
      </c>
      <c r="N105" s="42" t="s">
        <v>667</v>
      </c>
      <c r="O105" s="43"/>
    </row>
    <row r="106" ht="15.75" customHeight="1">
      <c r="A106" s="38" t="str">
        <f t="shared" si="4"/>
        <v>FT_99</v>
      </c>
      <c r="B106" s="39"/>
      <c r="C106" s="39" t="str">
        <f>IFERROR(__xludf.DUMMYFUNCTION("GOOGLETRANSLATE(FT!C106,""vi"",""ja"")"),"パンくずリストをクリックして確認してください")</f>
        <v>パンくずリストをクリックして確認してください</v>
      </c>
      <c r="D106" s="39" t="str">
        <f>IFERROR(__xludf.DUMMYFUNCTION("GOOGLETRANSLATE(FT!D106,""vi"",""ja"")"),"1.デジタルツール一覧画面へ
2.「絵のしゅるい」ドロップダウンをクリックします。
3. レベル 2 タグを持つレベル 1 タグをクリックして選択します
4. レベル 2 タグをクリックして選択します
5.「さがす」ボタンをクリック")</f>
        <v>1.デジタルツール一覧画面へ
2.「絵のしゅるい」ドロップダウンをクリックします。
3. レベル 2 タグを持つレベル 1 タグをクリックして選択します
4. レベル 2 タグをクリックして選択します
5.「さがす」ボタンをクリック</v>
      </c>
      <c r="E106" s="39" t="str">
        <f>IFERROR(__xludf.DUMMYFUNCTION("GOOGLETRANSLATE(FT!E106,""vi"",""ja"")"),"1. 検索結果画面へ
2. パンくずリストのリンク「第1層タグ」をクリックした際にチェックを入れる")</f>
        <v>1. 検索結果画面へ
2. パンくずリストのリンク「第1層タグ」をクリックした際にチェックを入れる</v>
      </c>
      <c r="F106" s="39" t="str">
        <f>IFERROR(__xludf.DUMMYFUNCTION("GOOGLETRANSLATE(FT!F106,""vi"",""ja"")"),"2.パンくずリストで結果画面を表示:絵のしゅるい &gt; [第1層タグ]  
と ： 
     絵のしゅるいはクリック可能なテキストリンクです 
      [第1層タグ]はクリックできないテキストです
- リストデータはタグレベル1に属するすべてのデジタルツールです")</f>
        <v>2.パンくずリストで結果画面を表示:絵のしゅるい &gt; [第1層タグ]  
と ： 
     絵のしゅるいはクリック可能なテキストリンクです 
      [第1層タグ]はクリックできないテキストです
- リストデータはタグレベル1に属するすべてのデジタルツールです</v>
      </c>
      <c r="G106" s="40" t="s">
        <v>45</v>
      </c>
      <c r="H106" s="41" t="s">
        <v>46</v>
      </c>
      <c r="I106" s="42" t="s">
        <v>667</v>
      </c>
      <c r="J106" s="41" t="s">
        <v>46</v>
      </c>
      <c r="K106" s="42"/>
      <c r="L106" s="42" t="s">
        <v>667</v>
      </c>
      <c r="M106" s="42" t="s">
        <v>667</v>
      </c>
      <c r="N106" s="42" t="s">
        <v>667</v>
      </c>
      <c r="O106" s="43"/>
    </row>
    <row r="107" ht="15.75" customHeight="1">
      <c r="A107" s="38" t="str">
        <f t="shared" si="4"/>
        <v>FT_100</v>
      </c>
      <c r="B107" s="39"/>
      <c r="C107" s="39"/>
      <c r="D107" s="39" t="str">
        <f>IFERROR(__xludf.DUMMYFUNCTION("GOOGLETRANSLATE(FT!D107,""vi"",""ja"")"),"1.デジタルツール一覧画面へ
2.「絵のしゅるい」ドロップダウンをクリックします。
3. レベル 2 タグを持つレベル 1 タグをクリックして選択します
4. レベル 2 タグをクリックして選択します 
5.「さがす」ボタンをクリック")</f>
        <v>1.デジタルツール一覧画面へ
2.「絵のしゅるい」ドロップダウンをクリックします。
3. レベル 2 タグを持つレベル 1 タグをクリックして選択します
4. レベル 2 タグをクリックして選択します 
5.「さがす」ボタンをクリック</v>
      </c>
      <c r="E107" s="39" t="str">
        <f>IFERROR(__xludf.DUMMYFUNCTION("GOOGLETRANSLATE(FT!E107,""vi"",""ja"")"),"1. 検索結果画面へ
2. パンくずリストの「絵のしゅるい」リンクをクリックしたときにチェックを入れます")</f>
        <v>1. 検索結果画面へ
2. パンくずリストの「絵のしゅるい」リンクをクリックしたときにチェックを入れます</v>
      </c>
      <c r="F107" s="39" t="str">
        <f>IFERROR(__xludf.DUMMYFUNCTION("GOOGLETRANSLATE(FT!F107,""vi"",""ja"")"),"2. 結果画面を「:絵のしゅるい」という文字だけのクリックできないパンくずリストで表示する
    リストデータはカテゴリに属する​​すべてのデジタルツールです")</f>
        <v>2. 結果画面を「:絵のしゅるい」という文字だけのクリックできないパンくずリストで表示する
    リストデータはカテゴリに属する​​すべてのデジタルツールです</v>
      </c>
      <c r="G107" s="40" t="s">
        <v>45</v>
      </c>
      <c r="H107" s="41" t="s">
        <v>46</v>
      </c>
      <c r="I107" s="42" t="s">
        <v>667</v>
      </c>
      <c r="J107" s="41" t="s">
        <v>46</v>
      </c>
      <c r="K107" s="42"/>
      <c r="L107" s="42" t="s">
        <v>667</v>
      </c>
      <c r="M107" s="42" t="s">
        <v>667</v>
      </c>
      <c r="N107" s="42" t="s">
        <v>667</v>
      </c>
      <c r="O107" s="43"/>
    </row>
    <row r="108" ht="15.75" customHeight="1">
      <c r="A108" s="38" t="str">
        <f t="shared" si="4"/>
        <v>FT_101</v>
      </c>
      <c r="B108" s="39" t="str">
        <f>IFERROR(__xludf.DUMMYFUNCTION("GOOGLETRANSLATE(FT!B108,""vi"",""ja"")"),"タグレベル 3 でのテスト検索")</f>
        <v>タグレベル 3 でのテスト検索</v>
      </c>
      <c r="C108" s="39" t="str">
        <f>IFERROR(__xludf.DUMMYFUNCTION("GOOGLETRANSLATE(FT!C108,""vi"",""ja"")"),"タグレベル 3 でのテスト検索")</f>
        <v>タグレベル 3 でのテスト検索</v>
      </c>
      <c r="D108" s="39" t="str">
        <f>IFERROR(__xludf.DUMMYFUNCTION("GOOGLETRANSLATE(FT!D108,""vi"",""ja"")"),"1.デジタルツール一覧画面へ
2.「絵のしゅるい」ドロップダウンをクリックします。
3. レベル 2 タグを持つレベル 1 タグをクリックして選択します
4. レベル 3 タグを持つレベル 2 タグをクリックして選択します
5. デジタルツールでレベル 3 タグをクリックして選択します
6.「さがす」ボタンをクリック")</f>
        <v>1.デジタルツール一覧画面へ
2.「絵のしゅるい」ドロップダウンをクリックします。
3. レベル 2 タグを持つレベル 1 タグをクリックして選択します
4. レベル 3 タグを持つレベル 2 タグをクリックして選択します
5. デジタルツールでレベル 3 タグをクリックして選択します
6.「さがす」ボタンをクリック</v>
      </c>
      <c r="E108" s="39" t="str">
        <f>IFERROR(__xludf.DUMMYFUNCTION("GOOGLETRANSLATE(FT!E108,""vi"",""ja"")"),"1. 検索結果画面へ
2. パンくずリストの表示を確認する
3. 表示されたデータ一覧を確認する")</f>
        <v>1. 検索結果画面へ
2. パンくずリストの表示を確認する
3. 表示されたデータ一覧を確認する</v>
      </c>
      <c r="F108" s="39" t="str">
        <f>IFERROR(__xludf.DUMMYFUNCTION("GOOGLETRANSLATE(FT!F108,""vi"",""ja"")"),"2. 結果画面をブレッドクラムで表示: 絵のしゅるい &gt; [第1層タグ] &gt; [第2層タグ] &gt; [第3層タグ]   
と ： 
     絵のしゅるい、[第1層タグ]、[第2層タグ]はクリック可能なテキストリンクです 
      [第3層タグ]はクリックできないテキストです
3. リストデータには、タグレベル 3 に属するすべてのデジタルツールが表示されます")</f>
        <v>2. 結果画面をブレッドクラムで表示: 絵のしゅるい &gt; [第1層タグ] &gt; [第2層タグ] &gt; [第3層タグ]   
と ： 
     絵のしゅるい、[第1層タグ]、[第2層タグ]はクリック可能なテキストリンクです 
      [第3層タグ]はクリックできないテキストです
3. リストデータには、タグレベル 3 に属するすべてのデジタルツールが表示されます</v>
      </c>
      <c r="G108" s="40" t="s">
        <v>45</v>
      </c>
      <c r="H108" s="41" t="s">
        <v>46</v>
      </c>
      <c r="I108" s="42" t="s">
        <v>667</v>
      </c>
      <c r="J108" s="41" t="s">
        <v>46</v>
      </c>
      <c r="K108" s="42"/>
      <c r="L108" s="42" t="s">
        <v>667</v>
      </c>
      <c r="M108" s="42" t="s">
        <v>667</v>
      </c>
      <c r="N108" s="42" t="s">
        <v>667</v>
      </c>
      <c r="O108" s="43"/>
    </row>
    <row r="109" ht="15.75" customHeight="1">
      <c r="A109" s="38" t="str">
        <f t="shared" si="4"/>
        <v>FT_102</v>
      </c>
      <c r="B109" s="39"/>
      <c r="C109" s="39"/>
      <c r="D109" s="39" t="str">
        <f>IFERROR(__xludf.DUMMYFUNCTION("GOOGLETRANSLATE(FT!D109,""vi"",""ja"")"),"1.デジタルツール一覧画面へ
2.「絵のしゅるい」ドロップダウンをクリックします。
3. レベル 2 タグを持つレベル 1 タグをクリックして選択します
4. レベル 3 タグを持つレベル 2 タグをクリックして選択します
5. クリックしてデジタルツールなしのレベル 3 タグを選択します
6.「さがす」ボタンをクリック")</f>
        <v>1.デジタルツール一覧画面へ
2.「絵のしゅるい」ドロップダウンをクリックします。
3. レベル 2 タグを持つレベル 1 タグをクリックして選択します
4. レベル 3 タグを持つレベル 2 タグをクリックして選択します
5. クリックしてデジタルツールなしのレベル 3 タグを選択します
6.「さがす」ボタンをクリック</v>
      </c>
      <c r="E109" s="39" t="str">
        <f>IFERROR(__xludf.DUMMYFUNCTION("GOOGLETRANSLATE(FT!E109,""vi"",""ja"")"),"1. 検索結果画面へ
2. パンくずリストの表示を確認する
3. 表示されたデータ一覧を確認する")</f>
        <v>1. 検索結果画面へ
2. パンくずリストの表示を確認する
3. 表示されたデータ一覧を確認する</v>
      </c>
      <c r="F109" s="39" t="str">
        <f>IFERROR(__xludf.DUMMYFUNCTION("GOOGLETRANSLATE(FT!F109,""vi"",""ja"")"),"2. 結果画面をブレッドクラムで表示: 絵のしゅるい &gt; [第1層タグ] &gt; [第2層タグ] &gt; [第3層タグ]   
と ： 
     絵のしゅるい、[第1層タグ]、[第2層タグ]はクリック可能なテキストリンクです 
      [第3層タグ]はクリックできないテキストです
3. リストデータが空です")</f>
        <v>2. 結果画面をブレッドクラムで表示: 絵のしゅるい &gt; [第1層タグ] &gt; [第2層タグ] &gt; [第3層タグ]   
と ： 
     絵のしゅるい、[第1層タグ]、[第2層タグ]はクリック可能なテキストリンクです 
      [第3層タグ]はクリックできないテキストです
3. リストデータが空です</v>
      </c>
      <c r="G109" s="40" t="s">
        <v>45</v>
      </c>
      <c r="H109" s="41" t="s">
        <v>46</v>
      </c>
      <c r="I109" s="42" t="s">
        <v>667</v>
      </c>
      <c r="J109" s="41" t="s">
        <v>46</v>
      </c>
      <c r="K109" s="42"/>
      <c r="L109" s="42" t="s">
        <v>667</v>
      </c>
      <c r="M109" s="42" t="s">
        <v>667</v>
      </c>
      <c r="N109" s="42" t="s">
        <v>667</v>
      </c>
      <c r="O109" s="43"/>
    </row>
    <row r="110" ht="15.75" customHeight="1">
      <c r="A110" s="38" t="str">
        <f t="shared" si="4"/>
        <v>FT_103</v>
      </c>
      <c r="B110" s="39"/>
      <c r="C110" s="39" t="str">
        <f>IFERROR(__xludf.DUMMYFUNCTION("GOOGLETRANSLATE(FT!C110,""vi"",""ja"")"),"パンくずリストの表示を確認する")</f>
        <v>パンくずリストの表示を確認する</v>
      </c>
      <c r="D110" s="39" t="str">
        <f>IFERROR(__xludf.DUMMYFUNCTION("GOOGLETRANSLATE(FT!D110,""vi"",""ja"")"),"1.デジタルツール一覧画面へ
2.「絵のしゅるい」ドロップダウンをクリックします。
3. レベル 2 タグを持つレベル 1 タグをクリックして選択します
4. レベル 3 タグを持つレベル 2 タグをクリックして選択します
5. 名前が 10 文字以下のレベル 3 タグをクリックして選択します
6.「さがす」ボタンをクリック")</f>
        <v>1.デジタルツール一覧画面へ
2.「絵のしゅるい」ドロップダウンをクリックします。
3. レベル 2 タグを持つレベル 1 タグをクリックして選択します
4. レベル 3 タグを持つレベル 2 タグをクリックして選択します
5. 名前が 10 文字以下のレベル 3 タグをクリックして選択します
6.「さがす」ボタンをクリック</v>
      </c>
      <c r="E110" s="39" t="str">
        <f>IFERROR(__xludf.DUMMYFUNCTION("GOOGLETRANSLATE(FT!E110,""vi"",""ja"")"),"1. 検索結果画面へ
2. パンくずリストの表示を確認する")</f>
        <v>1. 検索結果画面へ
2. パンくずリストの表示を確認する</v>
      </c>
      <c r="F110" s="39" t="str">
        <f>IFERROR(__xludf.DUMMYFUNCTION("GOOGLETRANSLATE(FT!F110,""vi"",""ja"")"),"2. レベル 3 のタグ名が完全に表示されます")</f>
        <v>2. レベル 3 のタグ名が完全に表示されます</v>
      </c>
      <c r="G110" s="40" t="s">
        <v>45</v>
      </c>
      <c r="H110" s="41" t="s">
        <v>46</v>
      </c>
      <c r="I110" s="42" t="s">
        <v>667</v>
      </c>
      <c r="J110" s="41" t="s">
        <v>46</v>
      </c>
      <c r="K110" s="42"/>
      <c r="L110" s="42" t="s">
        <v>667</v>
      </c>
      <c r="M110" s="42" t="s">
        <v>667</v>
      </c>
      <c r="N110" s="42" t="s">
        <v>667</v>
      </c>
      <c r="O110" s="43"/>
    </row>
    <row r="111" ht="15.75" customHeight="1">
      <c r="A111" s="38" t="str">
        <f t="shared" si="4"/>
        <v>FT_104</v>
      </c>
      <c r="B111" s="39"/>
      <c r="C111" s="39"/>
      <c r="D111" s="39" t="str">
        <f>IFERROR(__xludf.DUMMYFUNCTION("GOOGLETRANSLATE(FT!D111,""vi"",""ja"")"),"1.デジタルツール一覧画面へ
2.「絵のしゅるい」ドロップダウンをクリックします。
3. レベル 2 タグを持つレベル 1 タグをクリックして選択します
4. レベル 3 タグを持つレベル 2 タグをクリックして選択します
5. 名前が 10 文字を超えるレベル 3 タグをクリックして選択します
6.「さがす」ボタンをクリック")</f>
        <v>1.デジタルツール一覧画面へ
2.「絵のしゅるい」ドロップダウンをクリックします。
3. レベル 2 タグを持つレベル 1 タグをクリックして選択します
4. レベル 3 タグを持つレベル 2 タグをクリックして選択します
5. 名前が 10 文字を超えるレベル 3 タグをクリックして選択します
6.「さがす」ボタンをクリック</v>
      </c>
      <c r="E111" s="39" t="str">
        <f>IFERROR(__xludf.DUMMYFUNCTION("GOOGLETRANSLATE(FT!E111,""vi"",""ja"")"),"1. 検索結果画面へ
2. パンくずリストの表示を確認する")</f>
        <v>1. 検索結果画面へ
2. パンくずリストの表示を確認する</v>
      </c>
      <c r="F111" s="39" t="str">
        <f>IFERROR(__xludf.DUMMYFUNCTION("GOOGLETRANSLATE(FT!F111,""vi"",""ja"")"),"2. レベル 3 のタグ名は 10 文字表示され、11 文字目以降が切り捨てられます。")</f>
        <v>2. レベル 3 のタグ名は 10 文字表示され、11 文字目以降が切り捨てられます。</v>
      </c>
      <c r="G111" s="40" t="s">
        <v>45</v>
      </c>
      <c r="H111" s="41" t="s">
        <v>46</v>
      </c>
      <c r="I111" s="42" t="s">
        <v>667</v>
      </c>
      <c r="J111" s="41" t="s">
        <v>46</v>
      </c>
      <c r="K111" s="42"/>
      <c r="L111" s="42" t="s">
        <v>667</v>
      </c>
      <c r="M111" s="42" t="s">
        <v>667</v>
      </c>
      <c r="N111" s="42" t="s">
        <v>667</v>
      </c>
      <c r="O111" s="43"/>
    </row>
    <row r="112" ht="15.75" customHeight="1">
      <c r="A112" s="38" t="str">
        <f t="shared" si="4"/>
        <v>FT_105</v>
      </c>
      <c r="B112" s="39"/>
      <c r="C112" s="39" t="str">
        <f>IFERROR(__xludf.DUMMYFUNCTION("GOOGLETRANSLATE(FT!C112,""vi"",""ja"")"),"パンくずリストをクリックして確認してください")</f>
        <v>パンくずリストをクリックして確認してください</v>
      </c>
      <c r="D112" s="39" t="str">
        <f>IFERROR(__xludf.DUMMYFUNCTION("GOOGLETRANSLATE(FT!D112,""vi"",""ja"")"),"1.デジタルツール一覧画面へ
2.「絵のしゅるい」ドロップダウンをクリックします。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f>
        <v>1.デジタルツール一覧画面へ
2.「絵のしゅるい」ドロップダウンをクリックします。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v>
      </c>
      <c r="E112" s="39" t="str">
        <f>IFERROR(__xludf.DUMMYFUNCTION("GOOGLETRANSLATE(FT!E112,""vi"",""ja"")"),"1. 検索結果画面へ
2. パンくずリストのリンク「第2層タグ」をクリックすることを確認します。")</f>
        <v>1. 検索結果画面へ
2. パンくずリストのリンク「第2層タグ」をクリックすることを確認します。</v>
      </c>
      <c r="F112" s="39" t="str">
        <f>IFERROR(__xludf.DUMMYFUNCTION("GOOGLETRANSLATE(FT!F112,""vi"",""ja"")"),"2. パンくずリストで結果画面を表示:絵のしゅるい &gt; [第1層タグ] &gt; [第2タグ層] 
と ： 
     絵のしゅるい、[第1層タグ]はクリック可能なテキストリンクです 
      [第2層タグ]はクリックできないテキストです
- リストデータはタグレベル2に属するすべてのデジタルツールです")</f>
        <v>2. パンくずリストで結果画面を表示:絵のしゅるい &gt; [第1層タグ] &gt; [第2タグ層] 
と ： 
     絵のしゅるい、[第1層タグ]はクリック可能なテキストリンクです 
      [第2層タグ]はクリックできないテキストです
- リストデータはタグレベル2に属するすべてのデジタルツールです</v>
      </c>
      <c r="G112" s="40" t="s">
        <v>45</v>
      </c>
      <c r="H112" s="41" t="s">
        <v>46</v>
      </c>
      <c r="I112" s="42" t="s">
        <v>667</v>
      </c>
      <c r="J112" s="41" t="s">
        <v>46</v>
      </c>
      <c r="K112" s="42"/>
      <c r="L112" s="42" t="s">
        <v>667</v>
      </c>
      <c r="M112" s="42" t="s">
        <v>667</v>
      </c>
      <c r="N112" s="42" t="s">
        <v>667</v>
      </c>
      <c r="O112" s="43"/>
    </row>
    <row r="113" ht="15.75" customHeight="1">
      <c r="A113" s="38" t="str">
        <f t="shared" si="4"/>
        <v>FT_106</v>
      </c>
      <c r="B113" s="39"/>
      <c r="C113" s="39"/>
      <c r="D113" s="39" t="str">
        <f>IFERROR(__xludf.DUMMYFUNCTION("GOOGLETRANSLATE(FT!D113,""vi"",""ja"")"),"1.デジタルツール一覧画面へ
2.「絵のしゅるい」ドロップダウンをクリックします。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f>
        <v>1.デジタルツール一覧画面へ
2.「絵のしゅるい」ドロップダウンをクリックします。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v>
      </c>
      <c r="E113" s="39" t="str">
        <f>IFERROR(__xludf.DUMMYFUNCTION("GOOGLETRANSLATE(FT!E113,""vi"",""ja"")"),"1. 検索結果画面へ
2. パンくずリストのリンク「第1層タグ」をクリックすることを確認します。")</f>
        <v>1. 検索結果画面へ
2. パンくずリストのリンク「第1層タグ」をクリックすることを確認します。</v>
      </c>
      <c r="F113" s="39" t="str">
        <f>IFERROR(__xludf.DUMMYFUNCTION("GOOGLETRANSLATE(FT!F113,""vi"",""ja"")"),"2.パンくずリストで結果画面を表示:絵のしゅるい &gt; [第1層タグ]  
と ： 
     絵のしゅるいはクリック可能なテキストリンクです 
      [第1層タグ]はクリックできないテキストです    
- リストデータはタグレベル1に属するすべてのデジタルツールです")</f>
        <v>2.パンくずリストで結果画面を表示:絵のしゅるい &gt; [第1層タグ]  
と ： 
     絵のしゅるいはクリック可能なテキストリンクです 
      [第1層タグ]はクリックできないテキストです    
- リストデータはタグレベル1に属するすべてのデジタルツールです</v>
      </c>
      <c r="G113" s="40" t="s">
        <v>45</v>
      </c>
      <c r="H113" s="41" t="s">
        <v>46</v>
      </c>
      <c r="I113" s="42" t="s">
        <v>667</v>
      </c>
      <c r="J113" s="41" t="s">
        <v>46</v>
      </c>
      <c r="K113" s="42"/>
      <c r="L113" s="42" t="s">
        <v>667</v>
      </c>
      <c r="M113" s="42" t="s">
        <v>667</v>
      </c>
      <c r="N113" s="42" t="s">
        <v>667</v>
      </c>
      <c r="O113" s="43"/>
    </row>
    <row r="114" ht="15.75" customHeight="1">
      <c r="A114" s="38" t="str">
        <f t="shared" si="4"/>
        <v>FT_107</v>
      </c>
      <c r="B114" s="39"/>
      <c r="C114" s="39"/>
      <c r="D114" s="39" t="str">
        <f>IFERROR(__xludf.DUMMYFUNCTION("GOOGLETRANSLATE(FT!D114,""vi"",""ja"")"),"1.デジタルツール一覧画面へ
2.「絵のしゅるい」ドロップダウンをクリックします。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f>
        <v>1.デジタルツール一覧画面へ
2.「絵のしゅるい」ドロップダウンをクリックします。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v>
      </c>
      <c r="E114" s="39" t="str">
        <f>IFERROR(__xludf.DUMMYFUNCTION("GOOGLETRANSLATE(FT!E114,""vi"",""ja"")"),"1. 検索結果画面へ
2. パンくずリストの「絵のしゅるい」リンクをクリックするためにチェックを入れます")</f>
        <v>1. 検索結果画面へ
2. パンくずリストの「絵のしゅるい」リンクをクリックするためにチェックを入れます</v>
      </c>
      <c r="F114" s="39" t="str">
        <f>IFERROR(__xludf.DUMMYFUNCTION("GOOGLETRANSLATE(FT!F114,""vi"",""ja"")"),"2. 結果画面を「:絵のしゅるい」という文字だけのクリックできないパンくずリストで表示する
    リストデータはカテゴリに属する​​すべてのデジタルツールです")</f>
        <v>2. 結果画面を「:絵のしゅるい」という文字だけのクリックできないパンくずリストで表示する
    リストデータはカテゴリに属する​​すべてのデジタルツールです</v>
      </c>
      <c r="G114" s="40" t="s">
        <v>45</v>
      </c>
      <c r="H114" s="41" t="s">
        <v>46</v>
      </c>
      <c r="I114" s="42" t="s">
        <v>667</v>
      </c>
      <c r="J114" s="41" t="s">
        <v>46</v>
      </c>
      <c r="K114" s="42"/>
      <c r="L114" s="42" t="s">
        <v>667</v>
      </c>
      <c r="M114" s="42" t="s">
        <v>667</v>
      </c>
      <c r="N114" s="42" t="s">
        <v>667</v>
      </c>
      <c r="O114" s="43"/>
    </row>
    <row r="115" ht="15.75" customHeight="1">
      <c r="A115" s="38" t="str">
        <f t="shared" si="4"/>
        <v>FT_108</v>
      </c>
      <c r="B115" s="39" t="str">
        <f>IFERROR(__xludf.DUMMYFUNCTION("GOOGLETRANSLATE(FT!B115,""vi"",""ja"")"),"タグレベル 4 でのテスト検索")</f>
        <v>タグレベル 4 でのテスト検索</v>
      </c>
      <c r="C115" s="39" t="str">
        <f>IFERROR(__xludf.DUMMYFUNCTION("GOOGLETRANSLATE(FT!C115,""vi"",""ja"")"),"タグレベル 4 でのテスト検索")</f>
        <v>タグレベル 4 でのテスト検索</v>
      </c>
      <c r="D115" s="39" t="str">
        <f>IFERROR(__xludf.DUMMYFUNCTION("GOOGLETRANSLATE(FT!D115,""vi"",""ja"")"),"1.デジタルツール一覧画面へ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デジタルツールでレベル 4 タグをクリックして選択します
7.「さがす」ボタンをクリックします")</f>
        <v>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デジタルツールでレベル 4 タグをクリックして選択します
7.「さがす」ボタンをクリックします</v>
      </c>
      <c r="E115" s="39" t="str">
        <f>IFERROR(__xludf.DUMMYFUNCTION("GOOGLETRANSLATE(FT!E115,""vi"",""ja"")"),"1. 検索結果画面へ
2. パンくずリストの表示を確認する
3. 表示されたデータ一覧を確認する")</f>
        <v>1. 検索結果画面へ
2. パンくずリストの表示を確認する
3. 表示されたデータ一覧を確認する</v>
      </c>
      <c r="F115" s="39" t="str">
        <f>IFERROR(__xludf.DUMMYFUNCTION("GOOGLETRANSLATE(FT!F115,""vi"",""ja"")"),"2. パンくずリストで結果画面を表示します: 絵のしゅるい &gt; [第1層タグ] &gt; [第2層タグ] &gt; [第3層タグ] &gt; [第4層タグ]   
と ： 
     絵のしゅるい、[第1層タグ]、[第2層タグ]、[第3層タグ]はクリック可能なテキストリンクです 
      [第4層タグ]はクリックできないテキストです
3. リストデータには、タグレベル 4 に属するすべてのデジタルツールが表示されます")</f>
        <v>2. パンくずリストで結果画面を表示します: 絵のしゅるい &gt; [第1層タグ] &gt; [第2層タグ] &gt; [第3層タグ] &gt; [第4層タグ]   
と ： 
     絵のしゅるい、[第1層タグ]、[第2層タグ]、[第3層タグ]はクリック可能なテキストリンクです 
      [第4層タグ]はクリックできないテキストです
3. リストデータには、タグレベル 4 に属するすべてのデジタルツールが表示されます</v>
      </c>
      <c r="G115" s="40" t="s">
        <v>45</v>
      </c>
      <c r="H115" s="41" t="s">
        <v>46</v>
      </c>
      <c r="I115" s="42" t="s">
        <v>667</v>
      </c>
      <c r="J115" s="41" t="s">
        <v>46</v>
      </c>
      <c r="K115" s="42"/>
      <c r="L115" s="42" t="s">
        <v>667</v>
      </c>
      <c r="M115" s="42" t="s">
        <v>667</v>
      </c>
      <c r="N115" s="42" t="s">
        <v>667</v>
      </c>
      <c r="O115" s="43"/>
    </row>
    <row r="116" ht="15.75" customHeight="1">
      <c r="A116" s="38" t="str">
        <f t="shared" si="4"/>
        <v>FT_109</v>
      </c>
      <c r="B116" s="39"/>
      <c r="C116" s="39"/>
      <c r="D116" s="39" t="str">
        <f>IFERROR(__xludf.DUMMYFUNCTION("GOOGLETRANSLATE(FT!D116,""vi"",""ja"")"),"1.デジタルツール一覧画面へ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デジタルツールでレベル 4 タグをクリックして選択します
7.「さがす」ボタンをクリックします")</f>
        <v>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デジタルツールでレベル 4 タグをクリックして選択します
7.「さがす」ボタンをクリックします</v>
      </c>
      <c r="E116" s="39" t="str">
        <f>IFERROR(__xludf.DUMMYFUNCTION("GOOGLETRANSLATE(FT!E116,""vi"",""ja"")"),"1. 検索結果画面へ
2. パンくずリストの表示を確認する
3. 表示されたデータ一覧を確認する")</f>
        <v>1. 検索結果画面へ
2. パンくずリストの表示を確認する
3. 表示されたデータ一覧を確認する</v>
      </c>
      <c r="F116" s="39" t="str">
        <f>IFERROR(__xludf.DUMMYFUNCTION("GOOGLETRANSLATE(FT!F116,""vi"",""ja"")"),"2. パンくずリストで結果画面を表示します: 絵のしゅるい &gt; [第1層タグ] &gt; [第2層タグ] &gt; [第3層タグ] &gt; [第4層タグ]   
と ： 
     絵のしゅるい、[第1層タグ]、[第2層タグ]、[第3層タグ]はクリック可能なテキストリンクです 
      [第4層タグ]はクリックできないテキストです
3. リストデータが空です")</f>
        <v>2. パンくずリストで結果画面を表示します: 絵のしゅるい &gt; [第1層タグ] &gt; [第2層タグ] &gt; [第3層タグ] &gt; [第4層タグ]   
と ： 
     絵のしゅるい、[第1層タグ]、[第2層タグ]、[第3層タグ]はクリック可能なテキストリンクです 
      [第4層タグ]はクリックできないテキストです
3. リストデータが空です</v>
      </c>
      <c r="G116" s="40" t="s">
        <v>45</v>
      </c>
      <c r="H116" s="41" t="s">
        <v>46</v>
      </c>
      <c r="I116" s="42" t="s">
        <v>667</v>
      </c>
      <c r="J116" s="41" t="s">
        <v>46</v>
      </c>
      <c r="K116" s="42"/>
      <c r="L116" s="42" t="s">
        <v>667</v>
      </c>
      <c r="M116" s="42" t="s">
        <v>667</v>
      </c>
      <c r="N116" s="42" t="s">
        <v>667</v>
      </c>
      <c r="O116" s="43"/>
    </row>
    <row r="117" ht="15.75" customHeight="1">
      <c r="A117" s="38" t="str">
        <f t="shared" si="4"/>
        <v>FT_110</v>
      </c>
      <c r="B117" s="39"/>
      <c r="C117" s="39" t="str">
        <f>IFERROR(__xludf.DUMMYFUNCTION("GOOGLETRANSLATE(FT!C117,""vi"",""ja"")"),"パンくずリストの表示を確認する")</f>
        <v>パンくずリストの表示を確認する</v>
      </c>
      <c r="D117" s="39" t="str">
        <f>IFERROR(__xludf.DUMMYFUNCTION("GOOGLETRANSLATE(FT!D117,""vi"",""ja"")"),"1.デジタルツール一覧画面へ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名前が 10 文字以下のレベル 4 タグをクリックして選択します
7.「さがす」ボタンをクリックします")</f>
        <v>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名前が 10 文字以下のレベル 4 タグをクリックして選択します
7.「さがす」ボタンをクリックします</v>
      </c>
      <c r="E117" s="39" t="str">
        <f>IFERROR(__xludf.DUMMYFUNCTION("GOOGLETRANSLATE(FT!E117,""vi"",""ja"")"),"1. 検索結果画面へ
2. パンくずリストの表示を確認する")</f>
        <v>1. 検索結果画面へ
2. パンくずリストの表示を確認する</v>
      </c>
      <c r="F117" s="39" t="str">
        <f>IFERROR(__xludf.DUMMYFUNCTION("GOOGLETRANSLATE(FT!F117,""vi"",""ja"")"),"2. レベル 4 のタグ名が完全に表示されます")</f>
        <v>2. レベル 4 のタグ名が完全に表示されます</v>
      </c>
      <c r="G117" s="40" t="s">
        <v>45</v>
      </c>
      <c r="H117" s="41" t="s">
        <v>46</v>
      </c>
      <c r="I117" s="42" t="s">
        <v>667</v>
      </c>
      <c r="J117" s="41" t="s">
        <v>46</v>
      </c>
      <c r="K117" s="42"/>
      <c r="L117" s="42" t="s">
        <v>667</v>
      </c>
      <c r="M117" s="42" t="s">
        <v>667</v>
      </c>
      <c r="N117" s="42" t="s">
        <v>667</v>
      </c>
      <c r="O117" s="43"/>
    </row>
    <row r="118" ht="15.75" customHeight="1">
      <c r="A118" s="38" t="str">
        <f t="shared" si="4"/>
        <v>FT_111</v>
      </c>
      <c r="B118" s="39"/>
      <c r="C118" s="39"/>
      <c r="D118" s="39" t="str">
        <f>IFERROR(__xludf.DUMMYFUNCTION("GOOGLETRANSLATE(FT!D118,""vi"",""ja"")"),"1.デジタルツール一覧画面へ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名前が 10 文字を超えるレベル 4 タグをクリックして選択します
7.「さがす」ボタンをクリックします")</f>
        <v>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名前が 10 文字を超えるレベル 4 タグをクリックして選択します
7.「さがす」ボタンをクリックします</v>
      </c>
      <c r="E118" s="39" t="str">
        <f>IFERROR(__xludf.DUMMYFUNCTION("GOOGLETRANSLATE(FT!E118,""vi"",""ja"")"),"1. 検索結果画面へ
2. パンくずリストの表示を確認する")</f>
        <v>1. 検索結果画面へ
2. パンくずリストの表示を確認する</v>
      </c>
      <c r="F118" s="39" t="str">
        <f>IFERROR(__xludf.DUMMYFUNCTION("GOOGLETRANSLATE(FT!F118,""vi"",""ja"")"),"2. レベル4タグ名は10文字表示、11文字目以降は切り捨て")</f>
        <v>2. レベル4タグ名は10文字表示、11文字目以降は切り捨て</v>
      </c>
      <c r="G118" s="40" t="s">
        <v>45</v>
      </c>
      <c r="H118" s="41" t="s">
        <v>46</v>
      </c>
      <c r="I118" s="42" t="s">
        <v>667</v>
      </c>
      <c r="J118" s="41" t="s">
        <v>46</v>
      </c>
      <c r="K118" s="42"/>
      <c r="L118" s="42" t="s">
        <v>667</v>
      </c>
      <c r="M118" s="42" t="s">
        <v>667</v>
      </c>
      <c r="N118" s="42" t="s">
        <v>667</v>
      </c>
      <c r="O118" s="43"/>
    </row>
    <row r="119" ht="15.75" customHeight="1">
      <c r="A119" s="38" t="str">
        <f t="shared" si="4"/>
        <v>FT_112</v>
      </c>
      <c r="B119" s="39"/>
      <c r="C119" s="39" t="str">
        <f>IFERROR(__xludf.DUMMYFUNCTION("GOOGLETRANSLATE(FT!C119,""vi"",""ja"")"),"パンくずリストをクリックして確認してください")</f>
        <v>パンくずリストをクリックして確認してください</v>
      </c>
      <c r="D119" s="39" t="str">
        <f>IFERROR(__xludf.DUMMYFUNCTION("GOOGLETRANSLATE(FT!D119,""vi"",""ja"")"),"1.デジタルツール一覧画面へ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f>
        <v>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v>
      </c>
      <c r="E119" s="39" t="str">
        <f>IFERROR(__xludf.DUMMYFUNCTION("GOOGLETRANSLATE(FT!E119,""vi"",""ja"")"),"1. 検索結果画面へ
2. パンくずリストのリンク「第3層タグ」をクリックすることを確認します。")</f>
        <v>1. 検索結果画面へ
2. パンくずリストのリンク「第3層タグ」をクリックすることを確認します。</v>
      </c>
      <c r="F119" s="39" t="str">
        <f>IFERROR(__xludf.DUMMYFUNCTION("GOOGLETRANSLATE(FT!F119,""vi"",""ja"")"),"2. パンくずリストで結果画面を表示:絵のしゅるい &gt; [第1層タグ] &gt; [第2層タグ] &gt; [第3層タグ] 
と： 
     絵のしゅるい、[第1層タグ]、[第2層タグ]はクリック可能なテキストリンクです
     [第3層タグ]をクリックできない
- リストデータはタグレベル3に属するすべてのデジタルツールです")</f>
        <v>2. パンくずリストで結果画面を表示:絵のしゅるい &gt; [第1層タグ] &gt; [第2層タグ] &gt; [第3層タグ] 
と： 
     絵のしゅるい、[第1層タグ]、[第2層タグ]はクリック可能なテキストリンクです
     [第3層タグ]をクリックできない
- リストデータはタグレベル3に属するすべてのデジタルツールです</v>
      </c>
      <c r="G119" s="40" t="s">
        <v>45</v>
      </c>
      <c r="H119" s="41" t="s">
        <v>46</v>
      </c>
      <c r="I119" s="42" t="s">
        <v>667</v>
      </c>
      <c r="J119" s="41" t="s">
        <v>46</v>
      </c>
      <c r="K119" s="42"/>
      <c r="L119" s="42" t="s">
        <v>667</v>
      </c>
      <c r="M119" s="42" t="s">
        <v>667</v>
      </c>
      <c r="N119" s="42" t="s">
        <v>667</v>
      </c>
      <c r="O119" s="43"/>
    </row>
    <row r="120" ht="15.75" customHeight="1">
      <c r="A120" s="38" t="str">
        <f t="shared" si="4"/>
        <v>FT_113</v>
      </c>
      <c r="B120" s="39"/>
      <c r="C120" s="39"/>
      <c r="D120" s="39" t="str">
        <f>IFERROR(__xludf.DUMMYFUNCTION("GOOGLETRANSLATE(FT!D120,""vi"",""ja"")"),"1.デジタルツール一覧画面へ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f>
        <v>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v>
      </c>
      <c r="E120" s="39" t="str">
        <f>IFERROR(__xludf.DUMMYFUNCTION("GOOGLETRANSLATE(FT!E120,""vi"",""ja"")"),"1. 検索結果画面へ
2. パンくずリストのリンク「第2層タグ」をクリックすることを確認します。")</f>
        <v>1. 検索結果画面へ
2. パンくずリストのリンク「第2層タグ」をクリックすることを確認します。</v>
      </c>
      <c r="F120" s="39" t="str">
        <f>IFERROR(__xludf.DUMMYFUNCTION("GOOGLETRANSLATE(FT!F120,""vi"",""ja"")"),"2. パンくずリストで結果画面を表示:絵のしゅるい &gt; [第1層タグ] &gt; [第2タグ層] 
と： 
     絵のしゅるい、[第1層タグ]はクリック可能なテキストリンクです
     [第2層タグ]をクリックできない    
- リストデータはタグレベル2に属するすべてのデジタルツールです")</f>
        <v>2. パンくずリストで結果画面を表示:絵のしゅるい &gt; [第1層タグ] &gt; [第2タグ層] 
と： 
     絵のしゅるい、[第1層タグ]はクリック可能なテキストリンクです
     [第2層タグ]をクリックできない    
- リストデータはタグレベル2に属するすべてのデジタルツールです</v>
      </c>
      <c r="G120" s="40" t="s">
        <v>45</v>
      </c>
      <c r="H120" s="41" t="s">
        <v>46</v>
      </c>
      <c r="I120" s="42" t="s">
        <v>667</v>
      </c>
      <c r="J120" s="41" t="s">
        <v>46</v>
      </c>
      <c r="K120" s="42"/>
      <c r="L120" s="42" t="s">
        <v>667</v>
      </c>
      <c r="M120" s="42" t="s">
        <v>667</v>
      </c>
      <c r="N120" s="42" t="s">
        <v>667</v>
      </c>
      <c r="O120" s="43"/>
    </row>
    <row r="121" ht="15.75" customHeight="1">
      <c r="A121" s="38" t="str">
        <f t="shared" si="4"/>
        <v>FT_114</v>
      </c>
      <c r="B121" s="39"/>
      <c r="C121" s="39"/>
      <c r="D121" s="39" t="str">
        <f>IFERROR(__xludf.DUMMYFUNCTION("GOOGLETRANSLATE(FT!D121,""vi"",""ja"")"),"1.デジタルツール一覧画面へ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f>
        <v>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v>
      </c>
      <c r="E121" s="39" t="str">
        <f>IFERROR(__xludf.DUMMYFUNCTION("GOOGLETRANSLATE(FT!E121,""vi"",""ja"")"),"1. 検索結果画面へ
2. パンくずリストのリンク「第1層タグ」をクリックすることを確認します。")</f>
        <v>1. 検索結果画面へ
2. パンくずリストのリンク「第1層タグ」をクリックすることを確認します。</v>
      </c>
      <c r="F121" s="39" t="str">
        <f>IFERROR(__xludf.DUMMYFUNCTION("GOOGLETRANSLATE(FT!F121,""vi"",""ja"")"),"2.パンくずリストで結果画面を表示:絵のしゅるい &gt; [第1層タグ]  
と： 
     絵のしゅるいはクリック可能なテキストリンクです
     [第1層タグ]をクリックできない       
- リストデータはタグレベル1に属するすべてのデジタルツールです")</f>
        <v>2.パンくずリストで結果画面を表示:絵のしゅるい &gt; [第1層タグ]  
と： 
     絵のしゅるいはクリック可能なテキストリンクです
     [第1層タグ]をクリックできない       
- リストデータはタグレベル1に属するすべてのデジタルツールです</v>
      </c>
      <c r="G121" s="40" t="s">
        <v>45</v>
      </c>
      <c r="H121" s="41" t="s">
        <v>46</v>
      </c>
      <c r="I121" s="42" t="s">
        <v>667</v>
      </c>
      <c r="J121" s="41" t="s">
        <v>46</v>
      </c>
      <c r="K121" s="42"/>
      <c r="L121" s="42" t="s">
        <v>667</v>
      </c>
      <c r="M121" s="42" t="s">
        <v>667</v>
      </c>
      <c r="N121" s="42" t="s">
        <v>667</v>
      </c>
      <c r="O121" s="43"/>
    </row>
    <row r="122" ht="15.75" customHeight="1">
      <c r="A122" s="38" t="str">
        <f t="shared" si="4"/>
        <v>FT_115</v>
      </c>
      <c r="B122" s="39"/>
      <c r="C122" s="39"/>
      <c r="D122" s="39" t="str">
        <f>IFERROR(__xludf.DUMMYFUNCTION("GOOGLETRANSLATE(FT!D122,""vi"",""ja"")"),"1.デジタルツール一覧画面へ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f>
        <v>1.デジタルツール一覧画面へ
2.「絵のしゅるい」ドロップダウンをクリックします。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v>
      </c>
      <c r="E122" s="39" t="str">
        <f>IFERROR(__xludf.DUMMYFUNCTION("GOOGLETRANSLATE(FT!E122,""vi"",""ja"")"),"1. 検索結果画面へ
2. パンくずリストの「絵のしゅるい」リンクをクリックするためにチェックを入れます")</f>
        <v>1. 検索結果画面へ
2. パンくずリストの「絵のしゅるい」リンクをクリックするためにチェックを入れます</v>
      </c>
      <c r="F122" s="39" t="str">
        <f>IFERROR(__xludf.DUMMYFUNCTION("GOOGLETRANSLATE(FT!F122,""vi"",""ja"")"),"2. 結果画面を「:絵のしゅるい」という文字だけのクリックできないパンくずリストで表示する
    リストデータはカテゴリに属する​​すべてのデジタルツールです")</f>
        <v>2. 結果画面を「:絵のしゅるい」という文字だけのクリックできないパンくずリストで表示する
    リストデータはカテゴリに属する​​すべてのデジタルツールです</v>
      </c>
      <c r="G122" s="40" t="s">
        <v>45</v>
      </c>
      <c r="H122" s="41" t="s">
        <v>46</v>
      </c>
      <c r="I122" s="42" t="s">
        <v>667</v>
      </c>
      <c r="J122" s="41" t="s">
        <v>46</v>
      </c>
      <c r="K122" s="42"/>
      <c r="L122" s="42" t="s">
        <v>667</v>
      </c>
      <c r="M122" s="42" t="s">
        <v>667</v>
      </c>
      <c r="N122" s="42" t="s">
        <v>667</v>
      </c>
      <c r="O122" s="43"/>
    </row>
    <row r="123" ht="15.75" customHeight="1">
      <c r="A123" s="38" t="str">
        <f t="shared" si="4"/>
        <v>FT_116</v>
      </c>
      <c r="B123" s="39" t="str">
        <f>IFERROR(__xludf.DUMMYFUNCTION("GOOGLETRANSLATE(FT!B123,""vi"",""ja"")"),"検索結果画面で一覧データを確認する")</f>
        <v>検索結果画面で一覧データを確認する</v>
      </c>
      <c r="C123" s="39" t="str">
        <f>IFERROR(__xludf.DUMMYFUNCTION("GOOGLETRANSLATE(FT!C123,""vi"",""ja"")"),"ケース FT_22 から FT_45 をチェックしてください")</f>
        <v>ケース FT_22 から FT_45 をチェックしてください</v>
      </c>
      <c r="D123" s="39"/>
      <c r="E123" s="39" t="str">
        <f>IFERROR(__xludf.DUMMYFUNCTION("GOOGLETRANSLATE(FT!E123,""vi"",""ja"")"),"1. 検索結果画面へ
2.FT_22からFT_45まで同様に確認します。")</f>
        <v>1. 検索結果画面へ
2.FT_22からFT_45まで同様に確認します。</v>
      </c>
      <c r="F123" s="39" t="str">
        <f>IFERROR(__xludf.DUMMYFUNCTION("GOOGLETRANSLATE(FT!F123,""vi"",""ja"")"),"2. すべてのテスト ケースの結果が合格する")</f>
        <v>2. すべてのテスト ケースの結果が合格する</v>
      </c>
      <c r="G123" s="40" t="s">
        <v>45</v>
      </c>
      <c r="H123" s="41" t="s">
        <v>46</v>
      </c>
      <c r="I123" s="42" t="s">
        <v>667</v>
      </c>
      <c r="J123" s="41" t="s">
        <v>46</v>
      </c>
      <c r="K123" s="42"/>
      <c r="L123" s="42" t="s">
        <v>667</v>
      </c>
      <c r="M123" s="42" t="s">
        <v>667</v>
      </c>
      <c r="N123" s="42" t="s">
        <v>667</v>
      </c>
      <c r="O123" s="43"/>
    </row>
    <row r="124" ht="30.75" customHeight="1">
      <c r="A124" s="38" t="str">
        <f t="shared" si="4"/>
        <v>FT_117</v>
      </c>
      <c r="B124" s="39" t="str">
        <f>IFERROR(__xludf.DUMMYFUNCTION("GOOGLETRANSLATE(FT!B124,""vi"",""ja"")"),"検索後に別のアクションを確認してください")</f>
        <v>検索後に別のアクションを確認してください</v>
      </c>
      <c r="C124" s="39" t="str">
        <f>IFERROR(__xludf.DUMMYFUNCTION("GOOGLETRANSLATE(FT!C124,""vi"",""ja"")"),"エミールアイコンをクリックして確認してください")</f>
        <v>エミールアイコンをクリックして確認してください</v>
      </c>
      <c r="D124" s="39"/>
      <c r="E124" s="39" t="str">
        <f>IFERROR(__xludf.DUMMYFUNCTION("GOOGLETRANSLATE(FT!E124,""vi"",""ja"")"),"1. 検索結果画面へ
2.エミールアイコンのクリックを確認します")</f>
        <v>1. 検索結果画面へ
2.エミールアイコンのクリックを確認します</v>
      </c>
      <c r="F124" s="39" t="str">
        <f>IFERROR(__xludf.DUMMYFUNCTION("GOOGLETRANSLATE(FT!F124,""vi"",""ja"")"),"2.デジタルツール一覧画面に移動します")</f>
        <v>2.デジタルツール一覧画面に移動します</v>
      </c>
      <c r="G124" s="40" t="s">
        <v>45</v>
      </c>
      <c r="H124" s="41" t="s">
        <v>46</v>
      </c>
      <c r="I124" s="42" t="s">
        <v>667</v>
      </c>
      <c r="J124" s="41" t="s">
        <v>46</v>
      </c>
      <c r="K124" s="42"/>
      <c r="L124" s="42" t="s">
        <v>667</v>
      </c>
      <c r="M124" s="42" t="s">
        <v>667</v>
      </c>
      <c r="N124" s="42" t="s">
        <v>667</v>
      </c>
      <c r="O124" s="43"/>
    </row>
    <row r="125" ht="75.75" customHeight="1">
      <c r="A125" s="38" t="str">
        <f t="shared" si="4"/>
        <v>FT_118</v>
      </c>
      <c r="B125" s="39"/>
      <c r="C125" s="39" t="str">
        <f>IFERROR(__xludf.DUMMYFUNCTION("GOOGLETRANSLATE(FT!C125,""vi"",""ja"")"),"結果画面でキーワード検索する場合に確認してください")</f>
        <v>結果画面でキーワード検索する場合に確認してください</v>
      </c>
      <c r="D125" s="39"/>
      <c r="E125" s="39" t="str">
        <f>IFERROR(__xludf.DUMMYFUNCTION("GOOGLETRANSLATE(FT!E125,""vi"",""ja"")"),"1. 検索結果画面へ
2. ヘッダーの検索テキストボックスにテキストを入力します。 
3.「さがす」ボタンをクリック")</f>
        <v>1. 検索結果画面へ
2. ヘッダーの検索テキストボックスにテキストを入力します。 
3.「さがす」ボタンをクリック</v>
      </c>
      <c r="F125" s="39" t="str">
        <f>IFERROR(__xludf.DUMMYFUNCTION("GOOGLETRANSLATE(FT!F125,""vi"",""ja"")"),"3. 入力したテキストボックスに従ってリストデータが表示されたデジタルツール一覧画面に移動すると、手順1の検索条件がクリアされます。")</f>
        <v>3. 入力したテキストボックスに従ってリストデータが表示されたデジタルツール一覧画面に移動すると、手順1の検索条件がクリアされます。</v>
      </c>
      <c r="G125" s="40" t="s">
        <v>45</v>
      </c>
      <c r="H125" s="41" t="s">
        <v>46</v>
      </c>
      <c r="I125" s="42" t="s">
        <v>667</v>
      </c>
      <c r="J125" s="41" t="s">
        <v>46</v>
      </c>
      <c r="K125" s="42"/>
      <c r="L125" s="42" t="s">
        <v>667</v>
      </c>
      <c r="M125" s="42" t="s">
        <v>667</v>
      </c>
      <c r="N125" s="42" t="s">
        <v>667</v>
      </c>
      <c r="O125" s="43"/>
    </row>
    <row r="126" ht="15.75" customHeight="1">
      <c r="A126" s="47" t="str">
        <f>IFERROR(__xludf.DUMMYFUNCTION("GOOGLETRANSLATE(FT!A126,""vi"",""ja"")"),"[教科書・学年]タグで探す")</f>
        <v>[教科書・学年]タグで探す</v>
      </c>
      <c r="B126" s="16"/>
      <c r="C126" s="16"/>
      <c r="D126" s="16"/>
      <c r="E126" s="16"/>
      <c r="F126" s="16"/>
      <c r="G126" s="16"/>
      <c r="H126" s="16"/>
      <c r="I126" s="16"/>
      <c r="J126" s="16"/>
      <c r="K126" s="16"/>
      <c r="L126" s="16"/>
      <c r="M126" s="16"/>
      <c r="N126" s="16"/>
      <c r="O126" s="17"/>
    </row>
    <row r="127" ht="15.75" customHeight="1">
      <c r="A127" s="38" t="str">
        <f t="shared" ref="A127:A185" si="5">IF(F127&lt;&gt;"",""&amp;TEXT($B$1,"##")&amp;"_"&amp;(ROW()-5)-COUNTBLANK(F$6:F127),"")</f>
        <v>FT_119</v>
      </c>
      <c r="B127" s="39" t="str">
        <f>IFERROR(__xludf.DUMMYFUNCTION("GOOGLETRANSLATE(FT!B127,""vi"",""ja"")"),"UI")</f>
        <v>UI</v>
      </c>
      <c r="C127" s="39" t="str">
        <f>IFERROR(__xludf.DUMMYFUNCTION("GOOGLETRANSLATE(FT!C127,""vi"",""ja"")"),"「学年・教科書」ドロップダウンをクリックした際のUIを確認してください")</f>
        <v>「学年・教科書」ドロップダウンをクリックした際のUIを確認してください</v>
      </c>
      <c r="D127" s="39"/>
      <c r="E127" s="39" t="str">
        <f>IFERROR(__xludf.DUMMYFUNCTION("GOOGLETRANSLATE(FT!E127,""vi"",""ja"")"),"1.デジタルツール一覧画面へ
2. 「学年・教科書」ドロップダウンをクリックします。")</f>
        <v>1.デジタルツール一覧画面へ
2. 「学年・教科書」ドロップダウンをクリックします。</v>
      </c>
      <c r="F127" s="39" t="str">
        <f>IFERROR(__xludf.DUMMYFUNCTION("GOOGLETRANSLATE(FT!F127,""vi"",""ja"")"),"2. 設計どおりに UI を表示します: https://docs.google.com/presentation/d/1uIXz_fgthWJZ-wI9hncMjBFuUkY5cvgzLVYgvmFzVv4/edit?slide=id.g33b0341dd9c_0_132#slide=id.g33b0341dd9c_0_132")</f>
        <v>2. 設計どおりに UI を表示します: https://docs.google.com/presentation/d/1uIXz_fgthWJZ-wI9hncMjBFuUkY5cvgzLVYgvmFzVv4/edit?slide=id.g33b0341dd9c_0_132#slide=id.g33b0341dd9c_0_132</v>
      </c>
      <c r="G127" s="40" t="s">
        <v>45</v>
      </c>
      <c r="H127" s="41" t="s">
        <v>46</v>
      </c>
      <c r="I127" s="42" t="s">
        <v>667</v>
      </c>
      <c r="J127" s="41" t="s">
        <v>46</v>
      </c>
      <c r="K127" s="42"/>
      <c r="L127" s="50" t="s">
        <v>667</v>
      </c>
      <c r="M127" s="50" t="s">
        <v>667</v>
      </c>
      <c r="N127" s="50" t="s">
        <v>667</v>
      </c>
      <c r="O127" s="51"/>
    </row>
    <row r="128" ht="15.75" customHeight="1">
      <c r="A128" s="38" t="str">
        <f t="shared" si="5"/>
        <v>FT_120</v>
      </c>
      <c r="B128" s="39"/>
      <c r="C128" s="39" t="str">
        <f>IFERROR(__xludf.DUMMYFUNCTION("GOOGLETRANSLATE(FT!C128,""vi"",""ja"")"),"ドロップダウンリストタグを閉じるをチェックしてください")</f>
        <v>ドロップダウンリストタグを閉じるをチェックしてください</v>
      </c>
      <c r="D128" s="39" t="str">
        <f>IFERROR(__xludf.DUMMYFUNCTION("GOOGLETRANSLATE(FT!D128,""vi"",""ja"")"),"タグリストにアクションがない場合")</f>
        <v>タグリストにアクションがない場合</v>
      </c>
      <c r="E128" s="39" t="str">
        <f>IFERROR(__xludf.DUMMYFUNCTION("GOOGLETRANSLATE(FT!E128,""vi"",""ja"")"),"1.デジタルツール一覧画面へ
2. 「学年・教科書」ドロップダウンをクリックします。
3. もう一度「学年・教科書」ドロップダウンをクリックします。
4. 「学年・教科書」ドロップダウンをクリックします。
5. タグリスト表示エリア外をクリック 
")</f>
        <v>1.デジタルツール一覧画面へ
2. 「学年・教科書」ドロップダウンをクリックします。
3. もう一度「学年・教科書」ドロップダウンをクリックします。
4. 「学年・教科書」ドロップダウンをクリックします。
5. タグリスト表示エリア外をクリック 
</v>
      </c>
      <c r="F128" s="39" t="str">
        <f>IFERROR(__xludf.DUMMYFUNCTION("GOOGLETRANSLATE(FT!F128,""vi"",""ja"")"),"3. タグリストを閉じる
5. タグリストを閉じる")</f>
        <v>3. タグリストを閉じる
5. タグリストを閉じる</v>
      </c>
      <c r="G128" s="40" t="s">
        <v>45</v>
      </c>
      <c r="H128" s="41" t="s">
        <v>46</v>
      </c>
      <c r="I128" s="42" t="s">
        <v>667</v>
      </c>
      <c r="J128" s="41" t="s">
        <v>46</v>
      </c>
      <c r="K128" s="42"/>
      <c r="L128" s="50" t="s">
        <v>667</v>
      </c>
      <c r="M128" s="50" t="s">
        <v>667</v>
      </c>
      <c r="N128" s="50" t="s">
        <v>667</v>
      </c>
      <c r="O128" s="51"/>
    </row>
    <row r="129" ht="15.75" customHeight="1">
      <c r="A129" s="38" t="str">
        <f t="shared" si="5"/>
        <v>FT_121</v>
      </c>
      <c r="B129" s="39"/>
      <c r="C129" s="39"/>
      <c r="D129" s="39" t="str">
        <f>IFERROR(__xludf.DUMMYFUNCTION("GOOGLETRANSLATE(FT!D129,""vi"",""ja"")"),"タグリストで選択したタグ")</f>
        <v>タグリストで選択したタグ</v>
      </c>
      <c r="E129" s="39" t="str">
        <f>IFERROR(__xludf.DUMMYFUNCTION("GOOGLETRANSLATE(FT!E129,""vi"",""ja"")"),"1.デジタルツール一覧画面へ
2. 「学年・教科書」ドロップダウンをクリックします。
3. アクションを実行してタグを選択 =&gt; ドロップダウンを再度クリック 学年・教科書
4. 「学年・教科書」ドロップダウンをクリックします。
5. タグ選択アクションを実行 =&gt; タグリスト表示領域の外側をクリック 
6. 「学年・教科書」ドロップダウンをクリックします。
")</f>
        <v>1.デジタルツール一覧画面へ
2. 「学年・教科書」ドロップダウンをクリックします。
3. アクションを実行してタグを選択 =&gt; ドロップダウンを再度クリック 学年・教科書
4. 「学年・教科書」ドロップダウンをクリックします。
5. タグ選択アクションを実行 =&gt; タグリスト表示領域の外側をクリック 
6. 「学年・教科書」ドロップダウンをクリックします。
</v>
      </c>
      <c r="F129" s="39" t="str">
        <f>IFERROR(__xludf.DUMMYFUNCTION("GOOGLETRANSLATE(FT!F129,""vi"",""ja"")"),"3. タグリストを閉じる
5. タグリストを閉じる
6. 手順 2 と同様にタグリストを再度開きます。")</f>
        <v>3. タグリストを閉じる
5. タグリストを閉じる
6. 手順 2 と同様にタグリストを再度開きます。</v>
      </c>
      <c r="G129" s="40" t="s">
        <v>45</v>
      </c>
      <c r="H129" s="41" t="s">
        <v>46</v>
      </c>
      <c r="I129" s="42"/>
      <c r="J129" s="41" t="s">
        <v>46</v>
      </c>
      <c r="K129" s="42"/>
      <c r="L129" s="50" t="s">
        <v>667</v>
      </c>
      <c r="M129" s="50" t="s">
        <v>667</v>
      </c>
      <c r="N129" s="50" t="s">
        <v>667</v>
      </c>
      <c r="O129" s="51"/>
    </row>
    <row r="130" ht="15.75" customHeight="1">
      <c r="A130" s="38" t="str">
        <f t="shared" si="5"/>
        <v>FT_122</v>
      </c>
      <c r="B130" s="39" t="str">
        <f>IFERROR(__xludf.DUMMYFUNCTION("GOOGLETRANSLATE(FT!B130,""vi"",""ja"")"),"タグ一覧を確認する")</f>
        <v>タグ一覧を確認する</v>
      </c>
      <c r="C130" s="39" t="str">
        <f>IFERROR(__xludf.DUMMYFUNCTION("GOOGLETRANSLATE(FT!C130,""vi"",""ja"")"),"タグレベル1の表示を確認する")</f>
        <v>タグレベル1の表示を確認する</v>
      </c>
      <c r="D130" s="39" t="str">
        <f>IFERROR(__xludf.DUMMYFUNCTION("GOOGLETRANSLATE(FT!D130,""vi"",""ja"")"),"&lt;=18 アイテム")</f>
        <v>&lt;=18 アイテム</v>
      </c>
      <c r="E130" s="39" t="str">
        <f>IFERROR(__xludf.DUMMYFUNCTION("GOOGLETRANSLATE(FT!E130,""vi"",""ja"")"),"1.デジタルツール一覧画面へ
2. 「学年・教科書」ドロップダウンをクリックします。
3. リストタグレベル1の表示を確認する")</f>
        <v>1.デジタルツール一覧画面へ
2. 「学年・教科書」ドロップダウンをクリックします。
3. リストタグレベル1の表示を確認する</v>
      </c>
      <c r="F130" s="39" t="str">
        <f>IFERROR(__xludf.DUMMYFUNCTION("GOOGLETRANSLATE(FT!F130,""vi"",""ja"")"),"3. 上から下、左から右の順に、最大 18 個のアイテムを 3x6 個の数量で表示します。 
スクロールなし")</f>
        <v>3. 上から下、左から右の順に、最大 18 個のアイテムを 3x6 個の数量で表示します。 
スクロールなし</v>
      </c>
      <c r="G130" s="40" t="s">
        <v>45</v>
      </c>
      <c r="H130" s="41" t="s">
        <v>46</v>
      </c>
      <c r="I130" s="42"/>
      <c r="J130" s="41" t="s">
        <v>46</v>
      </c>
      <c r="K130" s="42"/>
      <c r="L130" s="50" t="s">
        <v>667</v>
      </c>
      <c r="M130" s="50" t="s">
        <v>667</v>
      </c>
      <c r="N130" s="50" t="s">
        <v>667</v>
      </c>
      <c r="O130" s="51"/>
    </row>
    <row r="131" ht="15.75" customHeight="1">
      <c r="A131" s="74" t="str">
        <f t="shared" si="5"/>
        <v>FT_123</v>
      </c>
      <c r="B131" s="75"/>
      <c r="C131" s="75"/>
      <c r="D131" s="75" t="str">
        <f>IFERROR(__xludf.DUMMYFUNCTION("GOOGLETRANSLATE(FT!D131,""vi"",""ja"")"),"18 項目以上")</f>
        <v>18 項目以上</v>
      </c>
      <c r="E131" s="75" t="str">
        <f>IFERROR(__xludf.DUMMYFUNCTION("GOOGLETRANSLATE(FT!E131,""vi"",""ja"")"),"1.デジタルツール一覧画面へ
2. 「学年・教科書」ドロップダウンをクリックします。
3. リストタグレベル1の表示を確認する")</f>
        <v>1.デジタルツール一覧画面へ
2. 「学年・教科書」ドロップダウンをクリックします。
3. リストタグレベル1の表示を確認する</v>
      </c>
      <c r="F131" s="75" t="str">
        <f>IFERROR(__xludf.DUMMYFUNCTION("GOOGLETRANSLATE(FT!F131,""vi"",""ja"")"),"3. 上から下、左から右の順に 3x6 の数量で 18 個のアイテムを表示します。 
スクロールがあり、スクロールしてさらにアイテムを読み込むことができます")</f>
        <v>3. 上から下、左から右の順に 3x6 の数量で 18 個のアイテムを表示します。 
スクロールがあり、スクロールしてさらにアイテムを読み込むことができます</v>
      </c>
      <c r="G131" s="76" t="s">
        <v>45</v>
      </c>
      <c r="H131" s="77" t="s">
        <v>46</v>
      </c>
      <c r="I131" s="70"/>
      <c r="J131" s="77" t="s">
        <v>46</v>
      </c>
      <c r="K131" s="70"/>
      <c r="L131" s="78"/>
      <c r="M131" s="78"/>
      <c r="N131" s="78"/>
      <c r="O131" s="79"/>
    </row>
    <row r="132" ht="15.75" customHeight="1">
      <c r="A132" s="38" t="str">
        <f t="shared" si="5"/>
        <v>FT_124</v>
      </c>
      <c r="B132" s="39"/>
      <c r="C132" s="39" t="str">
        <f>IFERROR(__xludf.DUMMYFUNCTION("GOOGLETRANSLATE(FT!C132,""vi"",""ja"")"),"クリックしてタグ レベル 1 を選択することにチェックを入れます")</f>
        <v>クリックしてタグ レベル 1 を選択することにチェックを入れます</v>
      </c>
      <c r="D132" s="39" t="str">
        <f>IFERROR(__xludf.DUMMYFUNCTION("GOOGLETRANSLATE(FT!D132,""vi"",""ja"")"),"選択したタグ レベル 1 のリスト タグ レベル 2 には 18 個以下の項目があります")</f>
        <v>選択したタグ レベル 1 のリスト タグ レベル 2 には 18 個以下の項目があります</v>
      </c>
      <c r="E132" s="39" t="str">
        <f>IFERROR(__xludf.DUMMYFUNCTION("GOOGLETRANSLATE(FT!E132,""vi"",""ja"")"),"1.デジタルツール一覧画面へ
2. 「学年・教科書」ドロップダウンをクリックします。
3. 前提条件のレベル 1 タグをクリックします。
4. リストタグレベル2の表示を確認する")</f>
        <v>1.デジタルツール一覧画面へ
2. 「学年・教科書」ドロップダウンをクリックします。
3. 前提条件のレベル 1 タグをクリックします。
4. リストタグレベル2の表示を確認する</v>
      </c>
      <c r="F132" s="39" t="str">
        <f>IFERROR(__xludf.DUMMYFUNCTION("GOOGLETRANSLATE(FT!F132,""vi"",""ja"")"),"2. タグレベル 1 表示が選択されています (表示背景 #FFCC00)
3. リスト タグ レベル 2 は、リスト タグ レベル 1 の隣の四角形に表示されます。  
上から下、左から右の順に、最大 18 個のアイテムを 3x6 個の数量で表示します。 
スクロールなし")</f>
        <v>2. タグレベル 1 表示が選択されています (表示背景 #FFCC00)
3. リスト タグ レベル 2 は、リスト タグ レベル 1 の隣の四角形に表示されます。  
上から下、左から右の順に、最大 18 個のアイテムを 3x6 個の数量で表示します。 
スクロールなし</v>
      </c>
      <c r="G132" s="40" t="s">
        <v>45</v>
      </c>
      <c r="H132" s="41" t="s">
        <v>46</v>
      </c>
      <c r="I132" s="42"/>
      <c r="J132" s="41" t="s">
        <v>46</v>
      </c>
      <c r="K132" s="42"/>
      <c r="L132" s="50" t="s">
        <v>667</v>
      </c>
      <c r="M132" s="50" t="s">
        <v>667</v>
      </c>
      <c r="N132" s="50" t="s">
        <v>667</v>
      </c>
      <c r="O132" s="51"/>
    </row>
    <row r="133" ht="15.75" customHeight="1">
      <c r="A133" s="80" t="str">
        <f t="shared" si="5"/>
        <v>FT_125</v>
      </c>
      <c r="B133" s="72"/>
      <c r="C133" s="72"/>
      <c r="D133" s="72" t="str">
        <f>IFERROR(__xludf.DUMMYFUNCTION("GOOGLETRANSLATE(FT!D133,""vi"",""ja"")"),"選択したタグ レベル 1 のリスト タグ レベル 2 には 18 個を超える項目があります")</f>
        <v>選択したタグ レベル 1 のリスト タグ レベル 2 には 18 個を超える項目があります</v>
      </c>
      <c r="E133" s="72" t="str">
        <f>IFERROR(__xludf.DUMMYFUNCTION("GOOGLETRANSLATE(FT!E133,""vi"",""ja"")"),"1.デジタルツール一覧画面へ
2. 「学年・教科書」ドロップダウンをクリックします。
3. 前提条件のレベル 1 タグをクリックします。
4. リストタグレベル2の表示を確認する")</f>
        <v>1.デジタルツール一覧画面へ
2. 「学年・教科書」ドロップダウンをクリックします。
3. 前提条件のレベル 1 タグをクリックします。
4. リストタグレベル2の表示を確認する</v>
      </c>
      <c r="F133" s="72" t="str">
        <f>IFERROR(__xludf.DUMMYFUNCTION("GOOGLETRANSLATE(FT!F133,""vi"",""ja"")"),"2. タグレベル 1 表示が選択されています (表示背景 #FFCC00)
3. リスト タグ レベル 2 は、リスト タグ レベル 1 の隣の四角形に表示されます。  
数量 3x6 の 18 個のアイテムを上から下、左から右の順に表示します。 
スクロールがあり、スクロールしてさらにアイテムを読み込むことができます")</f>
        <v>2. タグレベル 1 表示が選択されています (表示背景 #FFCC00)
3. リスト タグ レベル 2 は、リスト タグ レベル 1 の隣の四角形に表示されます。  
数量 3x6 の 18 個のアイテムを上から下、左から右の順に表示します。 
スクロールがあり、スクロールしてさらにアイテムを読み込むことができます</v>
      </c>
      <c r="G133" s="81" t="s">
        <v>45</v>
      </c>
      <c r="H133" s="82" t="s">
        <v>46</v>
      </c>
      <c r="I133" s="56"/>
      <c r="J133" s="82" t="s">
        <v>46</v>
      </c>
      <c r="K133" s="56"/>
      <c r="L133" s="50" t="s">
        <v>667</v>
      </c>
      <c r="M133" s="50" t="s">
        <v>667</v>
      </c>
      <c r="N133" s="50" t="s">
        <v>667</v>
      </c>
      <c r="O133" s="83"/>
    </row>
    <row r="134" ht="15.75" customHeight="1">
      <c r="A134" s="38" t="str">
        <f t="shared" si="5"/>
        <v>FT_126</v>
      </c>
      <c r="B134" s="39"/>
      <c r="C134" s="39" t="str">
        <f>IFERROR(__xludf.DUMMYFUNCTION("GOOGLETRANSLATE(FT!C134,""vi"",""ja"")"),"別のレベル 1 タグをクリックする場合にチェックを入れます")</f>
        <v>別のレベル 1 タグをクリックする場合にチェックを入れます</v>
      </c>
      <c r="D134" s="39"/>
      <c r="E134" s="39" t="str">
        <f>IFERROR(__xludf.DUMMYFUNCTION("GOOGLETRANSLATE(FT!E134,""vi"",""ja"")"),"1.デジタルツール一覧画面へ
2. 「学年・教科書」ドロップダウンをクリックします。
3. レベル 1 タグをクリックします 
4. 別のレベル 1 タグをクリックします")</f>
        <v>1.デジタルツール一覧画面へ
2. 「学年・教科書」ドロップダウンをクリックします。
3. レベル 1 タグをクリックします 
4. 別のレベル 1 タグをクリックします</v>
      </c>
      <c r="F134" s="39" t="str">
        <f>IFERROR(__xludf.DUMMYFUNCTION("GOOGLETRANSLATE(FT!F134,""vi"",""ja"")"),"4. ステップ 3 のタグ レベル 1 が選択解除されます (背景 #FFCC00 が失われます)。
    ステップ 4 のタグ レベル 1 が選択された状態で表示されます (背景 #FFCC00 を表示)
⇒手順4でクリックしたレベル1タグに対応するレベル2タグの一覧を表示")</f>
        <v>4. ステップ 3 のタグ レベル 1 が選択解除されます (背景 #FFCC00 が失われます)。
    ステップ 4 のタグ レベル 1 が選択された状態で表示されます (背景 #FFCC00 を表示)
⇒手順4でクリックしたレベル1タグに対応するレベル2タグの一覧を表示</v>
      </c>
      <c r="G134" s="40" t="s">
        <v>45</v>
      </c>
      <c r="H134" s="41" t="s">
        <v>46</v>
      </c>
      <c r="I134" s="42"/>
      <c r="J134" s="41" t="s">
        <v>46</v>
      </c>
      <c r="K134" s="42"/>
      <c r="L134" s="50" t="s">
        <v>667</v>
      </c>
      <c r="M134" s="50" t="s">
        <v>667</v>
      </c>
      <c r="N134" s="50" t="s">
        <v>667</v>
      </c>
      <c r="O134" s="51"/>
    </row>
    <row r="135" ht="15.75" customHeight="1">
      <c r="A135" s="38" t="str">
        <f t="shared" si="5"/>
        <v>FT_127</v>
      </c>
      <c r="B135" s="39"/>
      <c r="C135" s="39" t="str">
        <f>IFERROR(__xludf.DUMMYFUNCTION("GOOGLETRANSLATE(FT!C135,""vi"",""ja"")"),"現在選択されているレベル 1 タグをクリックする場合にチェックを入れます。")</f>
        <v>現在選択されているレベル 1 タグをクリックする場合にチェックを入れます。</v>
      </c>
      <c r="D135" s="39"/>
      <c r="E135" s="39" t="str">
        <f>IFERROR(__xludf.DUMMYFUNCTION("GOOGLETRANSLATE(FT!E135,""vi"",""ja"")"),"1.デジタルツール一覧画面へ
2. 「学年・教科書」ドロップダウンをクリックします。
3. レベル 1 タグをクリックします 
4. ステップ 3 のレベル 1 タグを再度クリックします。")</f>
        <v>1.デジタルツール一覧画面へ
2. 「学年・教科書」ドロップダウンをクリックします。
3. レベル 1 タグをクリックします 
4. ステップ 3 のレベル 1 タグを再度クリックします。</v>
      </c>
      <c r="F135" s="39" t="str">
        <f>IFERROR(__xludf.DUMMYFUNCTION("GOOGLETRANSLATE(FT!F135,""vi"",""ja"")"),"4. レベル 1 タグのチェックを外すと、レベル 2 タグのリストが空になります。")</f>
        <v>4. レベル 1 タグのチェックを外すと、レベル 2 タグのリストが空になります。</v>
      </c>
      <c r="G135" s="40" t="s">
        <v>45</v>
      </c>
      <c r="H135" s="41" t="s">
        <v>46</v>
      </c>
      <c r="I135" s="42"/>
      <c r="J135" s="41" t="s">
        <v>46</v>
      </c>
      <c r="K135" s="42"/>
      <c r="L135" s="50" t="s">
        <v>667</v>
      </c>
      <c r="M135" s="50" t="s">
        <v>667</v>
      </c>
      <c r="N135" s="50" t="s">
        <v>667</v>
      </c>
      <c r="O135" s="51"/>
    </row>
    <row r="136" ht="15.75" customHeight="1">
      <c r="A136" s="80" t="str">
        <f t="shared" si="5"/>
        <v>FT_128</v>
      </c>
      <c r="B136" s="72"/>
      <c r="C136" s="72" t="str">
        <f>IFERROR(__xludf.DUMMYFUNCTION("GOOGLETRANSLATE(FT!C136,""vi"",""ja"")"),"クリックしてタグ レベル 2 を選択することにチェックを入れます")</f>
        <v>クリックしてタグ レベル 2 を選択することにチェックを入れます</v>
      </c>
      <c r="D136" s="72" t="str">
        <f>IFERROR(__xludf.DUMMYFUNCTION("GOOGLETRANSLATE(FT!D136,""vi"",""ja"")"),"タグ レベル 1 にはタグ レベル 2 があり、タグ レベル 2 には 10 以下のタグ レベル 3 があります")</f>
        <v>タグ レベル 1 にはタグ レベル 2 があり、タグ レベル 2 には 10 以下のタグ レベル 3 があります</v>
      </c>
      <c r="E136" s="72" t="str">
        <f>IFERROR(__xludf.DUMMYFUNCTION("GOOGLETRANSLATE(FT!E136,""vi"",""ja"")"),"1.デジタルツール一覧画面へ
2. 「学年・教科書」ドロップダウンをクリックします。
3. 前提条件のレベル 1 タグをクリックします。
4. 前提条件のタグレベル2をクリック→タグレベル3の表示を確認")</f>
        <v>1.デジタルツール一覧画面へ
2. 「学年・教科書」ドロップダウンをクリックします。
3. 前提条件のレベル 1 タグをクリックします。
4. 前提条件のタグレベル2をクリック→タグレベル3の表示を確認</v>
      </c>
      <c r="F136" s="72" t="str">
        <f>IFERROR(__xludf.DUMMYFUNCTION("GOOGLETRANSLATE(FT!F136,""vi"",""ja"")"),"4. 背景色 #D9D9D9 で最大 10 個の項目を表示します
スクロールなし")</f>
        <v>4. 背景色 #D9D9D9 で最大 10 個の項目を表示します
スクロールなし</v>
      </c>
      <c r="G136" s="81" t="s">
        <v>45</v>
      </c>
      <c r="H136" s="82" t="s">
        <v>46</v>
      </c>
      <c r="I136" s="56"/>
      <c r="J136" s="82" t="s">
        <v>46</v>
      </c>
      <c r="K136" s="56"/>
      <c r="L136" s="50" t="s">
        <v>667</v>
      </c>
      <c r="M136" s="50" t="s">
        <v>667</v>
      </c>
      <c r="N136" s="50" t="s">
        <v>667</v>
      </c>
      <c r="O136" s="83"/>
    </row>
    <row r="137" ht="15.75" customHeight="1">
      <c r="A137" s="80" t="str">
        <f t="shared" si="5"/>
        <v>FT_129</v>
      </c>
      <c r="B137" s="72"/>
      <c r="C137" s="72"/>
      <c r="D137" s="72" t="str">
        <f>IFERROR(__xludf.DUMMYFUNCTION("GOOGLETRANSLATE(FT!D137,""vi"",""ja"")"),"タグ レベル 1 にはタグ レベル 2 があり、タグ レベル 2 にはタグ レベル 3 が 10 を超えています")</f>
        <v>タグ レベル 1 にはタグ レベル 2 があり、タグ レベル 2 にはタグ レベル 3 が 10 を超えています</v>
      </c>
      <c r="E137" s="72" t="str">
        <f>IFERROR(__xludf.DUMMYFUNCTION("GOOGLETRANSLATE(FT!E137,""vi"",""ja"")"),"1.デジタルツール一覧画面へ
2. 「学年・教科書」ドロップダウンをクリックします。
3. 前提条件のレベル 1 タグをクリックします。
4. 前提条件のタグレベル2をクリック→タグレベル3の表示を確認")</f>
        <v>1.デジタルツール一覧画面へ
2. 「学年・教科書」ドロップダウンをクリックします。
3. 前提条件のレベル 1 タグをクリックします。
4. 前提条件のタグレベル2をクリック→タグレベル3の表示を確認</v>
      </c>
      <c r="F137" s="72" t="str">
        <f>IFERROR(__xludf.DUMMYFUNCTION("GOOGLETRANSLATE(FT!F137,""vi"",""ja"")"),"4. 背景色 #D9D9D9 で 10 個のアイテムを表示します。
スクロールがあり、スクロールしてさらにアイテムを読み込むことができます")</f>
        <v>4. 背景色 #D9D9D9 で 10 個のアイテムを表示します。
スクロールがあり、スクロールしてさらにアイテムを読み込むことができます</v>
      </c>
      <c r="G137" s="81" t="s">
        <v>45</v>
      </c>
      <c r="H137" s="82" t="s">
        <v>46</v>
      </c>
      <c r="I137" s="56"/>
      <c r="J137" s="82" t="s">
        <v>46</v>
      </c>
      <c r="K137" s="56"/>
      <c r="L137" s="50" t="s">
        <v>667</v>
      </c>
      <c r="M137" s="50" t="s">
        <v>667</v>
      </c>
      <c r="N137" s="50" t="s">
        <v>667</v>
      </c>
      <c r="O137" s="83"/>
    </row>
    <row r="138" ht="15.75" customHeight="1">
      <c r="A138" s="38" t="str">
        <f t="shared" si="5"/>
        <v>FT_130</v>
      </c>
      <c r="B138" s="39"/>
      <c r="C138" s="39" t="str">
        <f>IFERROR(__xludf.DUMMYFUNCTION("GOOGLETRANSLATE(FT!C138,""vi"",""ja"")"),"タグ名レベル3の表示を確認する")</f>
        <v>タグ名レベル3の表示を確認する</v>
      </c>
      <c r="D138" s="39" t="str">
        <f>IFERROR(__xludf.DUMMYFUNCTION("GOOGLETRANSLATE(FT!D138,""vi"",""ja"")"),"タグ レベル 1 にはタグ レベル 2 があり、タグ レベル 2 にはタグ レベル 3 があります。 タグ レベル 3 の名前の文字数は表示枠よりも少なくなります。")</f>
        <v>タグ レベル 1 にはタグ レベル 2 があり、タグ レベル 2 にはタグ レベル 3 があります。 タグ レベル 3 の名前の文字数は表示枠よりも少なくなります。</v>
      </c>
      <c r="E138" s="39" t="str">
        <f>IFERROR(__xludf.DUMMYFUNCTION("GOOGLETRANSLATE(FT!E138,""vi"",""ja"")"),"1.デジタルツール一覧画面へ
2. 「学年・教科書」ドロップダウンをクリックします。
3. 前提条件のレベル 1 タグをクリックします。
4. 前提条件でレベル 2 タグをクリックします
5. レベル3のタグ名の表示を確認する")</f>
        <v>1.デジタルツール一覧画面へ
2. 「学年・教科書」ドロップダウンをクリックします。
3. 前提条件のレベル 1 タグをクリックします。
4. 前提条件でレベル 2 タグをクリックします
5. レベル3のタグ名の表示を確認する</v>
      </c>
      <c r="F138" s="39" t="str">
        <f>IFERROR(__xludf.DUMMYFUNCTION("GOOGLETRANSLATE(FT!F138,""vi"",""ja"")"),"5. 完全なレベル 3 タグ名を表示する")</f>
        <v>5. 完全なレベル 3 タグ名を表示する</v>
      </c>
      <c r="G138" s="40" t="s">
        <v>45</v>
      </c>
      <c r="H138" s="41" t="s">
        <v>46</v>
      </c>
      <c r="I138" s="42"/>
      <c r="J138" s="41" t="s">
        <v>46</v>
      </c>
      <c r="K138" s="42"/>
      <c r="L138" s="50" t="s">
        <v>667</v>
      </c>
      <c r="M138" s="50" t="s">
        <v>667</v>
      </c>
      <c r="N138" s="50" t="s">
        <v>667</v>
      </c>
      <c r="O138" s="51"/>
    </row>
    <row r="139" ht="15.75" customHeight="1">
      <c r="A139" s="38" t="str">
        <f t="shared" si="5"/>
        <v>FT_131</v>
      </c>
      <c r="B139" s="39"/>
      <c r="C139" s="39"/>
      <c r="D139" s="39" t="str">
        <f>IFERROR(__xludf.DUMMYFUNCTION("GOOGLETRANSLATE(FT!D139,""vi"",""ja"")"),"タグ レベル 1 にはタグ レベル 2 があり、タグ レベル 2 にはタグ レベル 3 があります。 タグ レベル 3 の名前の文字数が表示フレームより長くなります。")</f>
        <v>タグ レベル 1 にはタグ レベル 2 があり、タグ レベル 2 にはタグ レベル 3 があります。 タグ レベル 3 の名前の文字数が表示フレームより長くなります。</v>
      </c>
      <c r="E139" s="39" t="str">
        <f>IFERROR(__xludf.DUMMYFUNCTION("GOOGLETRANSLATE(FT!E139,""vi"",""ja"")"),"1.デジタルツール一覧画面へ
2. 「学年・教科書」ドロップダウンをクリックします。
3. 前提条件のレベル 1 タグをクリックします。 
4. 前提条件でレベル 2 タグをクリックします
5. レベル3のタグ名の表示を確認する")</f>
        <v>1.デジタルツール一覧画面へ
2. 「学年・教科書」ドロップダウンをクリックします。
3. 前提条件のレベル 1 タグをクリックします。 
4. 前提条件でレベル 2 タグをクリックします
5. レベル3のタグ名の表示を確認する</v>
      </c>
      <c r="F139" s="39" t="str">
        <f>IFERROR(__xludf.DUMMYFUNCTION("GOOGLETRANSLATE(FT!F139,""vi"",""ja"")"),"5.名前をフレームの限界まで表示し、残りの文字は切り取られます")</f>
        <v>5.名前をフレームの限界まで表示し、残りの文字は切り取られます</v>
      </c>
      <c r="G139" s="40" t="s">
        <v>45</v>
      </c>
      <c r="H139" s="41" t="s">
        <v>46</v>
      </c>
      <c r="I139" s="42"/>
      <c r="J139" s="41" t="s">
        <v>46</v>
      </c>
      <c r="K139" s="42"/>
      <c r="L139" s="50" t="s">
        <v>667</v>
      </c>
      <c r="M139" s="50" t="s">
        <v>667</v>
      </c>
      <c r="N139" s="50" t="s">
        <v>667</v>
      </c>
      <c r="O139" s="51"/>
    </row>
    <row r="140" ht="15.75" customHeight="1">
      <c r="A140" s="38" t="str">
        <f t="shared" si="5"/>
        <v>FT_132</v>
      </c>
      <c r="B140" s="39"/>
      <c r="C140" s="39" t="str">
        <f>IFERROR(__xludf.DUMMYFUNCTION("GOOGLETRANSLATE(FT!C140,""vi"",""ja"")"),"別のレベル 1 タグをクリックする場合にチェックを入れます")</f>
        <v>別のレベル 1 タグをクリックする場合にチェックを入れます</v>
      </c>
      <c r="D140" s="39" t="str">
        <f>IFERROR(__xludf.DUMMYFUNCTION("GOOGLETRANSLATE(FT!D140,""vi"",""ja"")"),"タグ レベル 1 には多数のレベル 2 タグがあり、タグ レベル 2 にはレベル 3 タグがあります")</f>
        <v>タグ レベル 1 には多数のレベル 2 タグがあり、タグ レベル 2 にはレベル 3 タグがあります</v>
      </c>
      <c r="E140" s="39" t="str">
        <f>IFERROR(__xludf.DUMMYFUNCTION("GOOGLETRANSLATE(FT!E140,""vi"",""ja"")"),"1.デジタルツール一覧画面へ
2. 「学年・教科書」ドロップダウンをクリックします。
3. 前提条件のレベル 1 タグをクリックします。
4. レベル 2 タグをクリックします。
5. 手順3で別のレベル1タグをクリック =&gt; レベル3タグの表示を確認")</f>
        <v>1.デジタルツール一覧画面へ
2. 「学年・教科書」ドロップダウンをクリックします。
3. 前提条件のレベル 1 タグをクリックします。
4. レベル 2 タグをクリックします。
5. 手順3で別のレベル1タグをクリック =&gt; レベル3タグの表示を確認</v>
      </c>
      <c r="F140" s="39" t="str">
        <f>IFERROR(__xludf.DUMMYFUNCTION("GOOGLETRANSLATE(FT!F140,""vi"",""ja"")"),"5. ステップ 3 のタグ レベル 1 は選択解除され、ステップ 5 のタグ レベル 1 が選択されたものとして表示されます (黄色の背景が表示されます)。
    手順5でレベル1タグに属するレベル2タグのリストを表示します。")</f>
        <v>5. ステップ 3 のタグ レベル 1 は選択解除され、ステップ 5 のタグ レベル 1 が選択されたものとして表示されます (黄色の背景が表示されます)。
    手順5でレベル1タグに属するレベル2タグのリストを表示します。</v>
      </c>
      <c r="G140" s="40" t="s">
        <v>45</v>
      </c>
      <c r="H140" s="41" t="s">
        <v>46</v>
      </c>
      <c r="I140" s="42"/>
      <c r="J140" s="41" t="s">
        <v>46</v>
      </c>
      <c r="K140" s="42"/>
      <c r="L140" s="50" t="s">
        <v>667</v>
      </c>
      <c r="M140" s="50" t="s">
        <v>667</v>
      </c>
      <c r="N140" s="50" t="s">
        <v>667</v>
      </c>
      <c r="O140" s="51"/>
    </row>
    <row r="141" ht="15.75" customHeight="1">
      <c r="A141" s="38" t="str">
        <f t="shared" si="5"/>
        <v>FT_133</v>
      </c>
      <c r="B141" s="39"/>
      <c r="C141" s="39" t="str">
        <f>IFERROR(__xludf.DUMMYFUNCTION("GOOGLETRANSLATE(FT!C141,""vi"",""ja"")"),"別のレベル 2 タグにチェックを入れてクリックします")</f>
        <v>別のレベル 2 タグにチェックを入れてクリックします</v>
      </c>
      <c r="D141" s="39" t="str">
        <f>IFERROR(__xludf.DUMMYFUNCTION("GOOGLETRANSLATE(FT!D141,""vi"",""ja"")"),"タグ レベル 1 には多くのタグ レベル 2 があります")</f>
        <v>タグ レベル 1 には多くのタグ レベル 2 があります</v>
      </c>
      <c r="E141" s="39" t="str">
        <f>IFERROR(__xludf.DUMMYFUNCTION("GOOGLETRANSLATE(FT!E141,""vi"",""ja"")"),"1.デジタルツール一覧画面へ
2. 「学年・教科書」ドロップダウンをクリックします。
3. 前提条件のレベル 1 タグをクリックします。
4. レベル 2 タグをクリックします
5. 手順4のタグ以外のレベル2タグをクリック ⇒ レベル2タグ、レベル3タグの表示を確認")</f>
        <v>1.デジタルツール一覧画面へ
2. 「学年・教科書」ドロップダウンをクリックします。
3. 前提条件のレベル 1 タグをクリックします。
4. レベル 2 タグをクリックします
5. 手順4のタグ以外のレベル2タグをクリック ⇒ レベル2タグ、レベル3タグの表示を確認</v>
      </c>
      <c r="F141" s="39" t="str">
        <f>IFERROR(__xludf.DUMMYFUNCTION("GOOGLETRANSLATE(FT!F141,""vi"",""ja"")"),"5. ステップ 4 のタグ レベル 2 の選択が解除され、ステップ 5 のタグ レベル 2 が選択されたものとして表示されます (黄色の背景が表示されます)。
    手順5でレベル2タグに属するレベル3タグのリストを表示します。")</f>
        <v>5. ステップ 4 のタグ レベル 2 の選択が解除され、ステップ 5 のタグ レベル 2 が選択されたものとして表示されます (黄色の背景が表示されます)。
    手順5でレベル2タグに属するレベル3タグのリストを表示します。</v>
      </c>
      <c r="G141" s="40" t="s">
        <v>45</v>
      </c>
      <c r="H141" s="41" t="s">
        <v>46</v>
      </c>
      <c r="I141" s="42"/>
      <c r="J141" s="41" t="s">
        <v>46</v>
      </c>
      <c r="K141" s="42"/>
      <c r="L141" s="50" t="s">
        <v>667</v>
      </c>
      <c r="M141" s="50" t="s">
        <v>667</v>
      </c>
      <c r="N141" s="50" t="s">
        <v>667</v>
      </c>
      <c r="O141" s="51"/>
    </row>
    <row r="142" ht="15.75" customHeight="1">
      <c r="A142" s="38" t="str">
        <f t="shared" si="5"/>
        <v>FT_134</v>
      </c>
      <c r="B142" s="39"/>
      <c r="C142" s="39" t="str">
        <f>IFERROR(__xludf.DUMMYFUNCTION("GOOGLETRANSLATE(FT!C142,""vi"",""ja"")"),"チェックすると、現在選択されているレベル 2 タグをクリックします。")</f>
        <v>チェックすると、現在選択されているレベル 2 タグをクリックします。</v>
      </c>
      <c r="D142" s="39" t="str">
        <f>IFERROR(__xludf.DUMMYFUNCTION("GOOGLETRANSLATE(FT!D142,""vi"",""ja"")"),"タグ レベル 1 には多くのタグ レベル 2 があります")</f>
        <v>タグ レベル 1 には多くのタグ レベル 2 があります</v>
      </c>
      <c r="E142" s="39" t="str">
        <f>IFERROR(__xludf.DUMMYFUNCTION("GOOGLETRANSLATE(FT!E142,""vi"",""ja"")"),"1.デジタルツール一覧画面へ
2. 「学年・教科書」ドロップダウンをクリックします。
3. 前提条件のレベル 1 タグをクリックします。
4. レベル 2 タグをクリックします
5. 手順4で再度タグレベル2をクリック =&gt; タグレベル2,3の表示を確認")</f>
        <v>1.デジタルツール一覧画面へ
2. 「学年・教科書」ドロップダウンをクリックします。
3. 前提条件のレベル 1 タグをクリックします。
4. レベル 2 タグをクリックします
5. 手順4で再度タグレベル2をクリック =&gt; タグレベル2,3の表示を確認</v>
      </c>
      <c r="F142" s="39" t="str">
        <f>IFERROR(__xludf.DUMMYFUNCTION("GOOGLETRANSLATE(FT!F142,""vi"",""ja"")"),"5. ステップ 4 のタグ レベル 2 の選択が解除されます。
    リストタグレベル3は空になります")</f>
        <v>5. ステップ 4 のタグ レベル 2 の選択が解除されます。
    リストタグレベル3は空になります</v>
      </c>
      <c r="G142" s="40" t="s">
        <v>45</v>
      </c>
      <c r="H142" s="41" t="s">
        <v>46</v>
      </c>
      <c r="I142" s="42"/>
      <c r="J142" s="41" t="s">
        <v>46</v>
      </c>
      <c r="K142" s="42"/>
      <c r="L142" s="50" t="s">
        <v>667</v>
      </c>
      <c r="M142" s="50" t="s">
        <v>667</v>
      </c>
      <c r="N142" s="50" t="s">
        <v>667</v>
      </c>
      <c r="O142" s="51"/>
    </row>
    <row r="143" ht="15.75" customHeight="1">
      <c r="A143" s="38" t="str">
        <f t="shared" si="5"/>
        <v>FT_135</v>
      </c>
      <c r="B143" s="39"/>
      <c r="C143" s="39" t="str">
        <f>IFERROR(__xludf.DUMMYFUNCTION("GOOGLETRANSLATE(FT!C143,""vi"",""ja"")"),"現在選択されているレベル 1 タグの 2 回目のクリックを確認します")</f>
        <v>現在選択されているレベル 1 タグの 2 回目のクリックを確認します</v>
      </c>
      <c r="D143" s="39" t="str">
        <f>IFERROR(__xludf.DUMMYFUNCTION("GOOGLETRANSLATE(FT!D143,""vi"",""ja"")"),"タグ レベル 1 には多数のレベル 2 タグがあり、タグ レベル 2 にはレベル 3 タグがあります")</f>
        <v>タグ レベル 1 には多数のレベル 2 タグがあり、タグ レベル 2 にはレベル 3 タグがあります</v>
      </c>
      <c r="E143" s="39" t="str">
        <f>IFERROR(__xludf.DUMMYFUNCTION("GOOGLETRANSLATE(FT!E143,""vi"",""ja"")"),"1.デジタルツール一覧画面へ
2. 「学年・教科書」ドロップダウンをクリックします。
3. 前提条件のレベル 1 タグをクリックします。
4. レベル 2 タグをクリックします
5. 手順 3 でタグレベル 1 を再度クリック =&gt; タグレベル 1、2、3 の表示を確認します。")</f>
        <v>1.デジタルツール一覧画面へ
2. 「学年・教科書」ドロップダウンをクリックします。
3. 前提条件のレベル 1 タグをクリックします。
4. レベル 2 タグをクリックします
5. 手順 3 でタグレベル 1 を再度クリック =&gt; タグレベル 1、2、3 の表示を確認します。</v>
      </c>
      <c r="F143" s="39" t="str">
        <f>IFERROR(__xludf.DUMMYFUNCTION("GOOGLETRANSLATE(FT!F143,""vi"",""ja"")"),"5. ステップ 3 のタグ レベル 1 の選択が解除されます。
    リストタグのレベル 2 と 3 は空になります")</f>
        <v>5. ステップ 3 のタグ レベル 1 の選択が解除されます。
    リストタグのレベル 2 と 3 は空になります</v>
      </c>
      <c r="G143" s="40" t="s">
        <v>45</v>
      </c>
      <c r="H143" s="41" t="s">
        <v>46</v>
      </c>
      <c r="I143" s="42"/>
      <c r="J143" s="41" t="s">
        <v>46</v>
      </c>
      <c r="K143" s="42"/>
      <c r="L143" s="50" t="s">
        <v>667</v>
      </c>
      <c r="M143" s="50" t="s">
        <v>667</v>
      </c>
      <c r="N143" s="50" t="s">
        <v>667</v>
      </c>
      <c r="O143" s="51"/>
    </row>
    <row r="144" ht="15.75" customHeight="1">
      <c r="A144" s="38" t="str">
        <f t="shared" si="5"/>
        <v>FT_136</v>
      </c>
      <c r="B144" s="39"/>
      <c r="C144" s="39" t="str">
        <f>IFERROR(__xludf.DUMMYFUNCTION("GOOGLETRANSLATE(FT!C144,""vi"",""ja"")"),"クリックしてタグ レベル 3 を選択することにチェックを入れます")</f>
        <v>クリックしてタグ レベル 3 を選択することにチェックを入れます</v>
      </c>
      <c r="D144" s="39" t="str">
        <f>IFERROR(__xludf.DUMMYFUNCTION("GOOGLETRANSLATE(FT!D144,""vi"",""ja"")"),"タグ レベル 1 にはタグ レベル 2 があります 
タグ レベル 2 にはタグ レベル 3 があります
タグ レベル 3 には 10 個以下のタグ レベル 4 があります")</f>
        <v>タグ レベル 1 にはタグ レベル 2 があります 
タグ レベル 2 にはタグ レベル 3 があります
タグ レベル 3 には 10 個以下のタグ レベル 4 があります</v>
      </c>
      <c r="E144" s="39" t="str">
        <f>IFERROR(__xludf.DUMMYFUNCTION("GOOGLETRANSLATE(FT!E144,""vi"",""ja"")"),"1.デジタルツール一覧画面へ
2. 「学年・教科書」ドロップダウンをクリックします。
3. 前提条件のレベル 1 タグをクリックします。
4. 前提条件でレベル 2 タグをクリックします
5. 前提条件でレベル 3 タグをクリックします
6. レベル4タグリストの表示を確認する")</f>
        <v>1.デジタルツール一覧画面へ
2. 「学年・教科書」ドロップダウンをクリックします。
3. 前提条件のレベル 1 タグをクリックします。
4. 前提条件でレベル 2 タグをクリックします
5. 前提条件でレベル 3 タグをクリックします
6. レベル4タグリストの表示を確認する</v>
      </c>
      <c r="F144" s="39" t="str">
        <f>IFERROR(__xludf.DUMMYFUNCTION("GOOGLETRANSLATE(FT!F144,""vi"",""ja"")"),"6. レベル 4 のタグをすべて背景色 #D9D9D9 で表示します。
スクロールなし")</f>
        <v>6. レベル 4 のタグをすべて背景色 #D9D9D9 で表示します。
スクロールなし</v>
      </c>
      <c r="G144" s="40" t="s">
        <v>45</v>
      </c>
      <c r="H144" s="41" t="s">
        <v>46</v>
      </c>
      <c r="I144" s="42"/>
      <c r="J144" s="41" t="s">
        <v>46</v>
      </c>
      <c r="K144" s="42"/>
      <c r="L144" s="50" t="s">
        <v>667</v>
      </c>
      <c r="M144" s="50" t="s">
        <v>667</v>
      </c>
      <c r="N144" s="50" t="s">
        <v>667</v>
      </c>
      <c r="O144" s="51"/>
    </row>
    <row r="145" ht="15.75" customHeight="1">
      <c r="A145" s="38" t="str">
        <f t="shared" si="5"/>
        <v>FT_137</v>
      </c>
      <c r="B145" s="39"/>
      <c r="C145" s="39"/>
      <c r="D145" s="39" t="str">
        <f>IFERROR(__xludf.DUMMYFUNCTION("GOOGLETRANSLATE(FT!D145,""vi"",""ja"")"),"タグ レベル 1 にはタグ レベル 2 があります 
タグ レベル 2 にはタグ レベル 3 が含まれます
タグ レベル 3 には 10 を超えるタグ レベル 4 があります")</f>
        <v>タグ レベル 1 にはタグ レベル 2 があります 
タグ レベル 2 にはタグ レベル 3 が含まれます
タグ レベル 3 には 10 を超えるタグ レベル 4 があります</v>
      </c>
      <c r="E145" s="39" t="str">
        <f>IFERROR(__xludf.DUMMYFUNCTION("GOOGLETRANSLATE(FT!E145,""vi"",""ja"")"),"1.デジタルツール一覧画面へ
2. 「学年・教科書」ドロップダウンをクリックします。
3. 前提条件のレベル 1 タグをクリックします。
4. 前提条件でレベル 2 タグをクリックします
5. 前提条件でレベル 3 タグをクリックします
6. レベル4タグリストの表示を確認する")</f>
        <v>1.デジタルツール一覧画面へ
2. 「学年・教科書」ドロップダウンをクリックします。
3. 前提条件のレベル 1 タグをクリックします。
4. 前提条件でレベル 2 タグをクリックします
5. 前提条件でレベル 3 タグをクリックします
6. レベル4タグリストの表示を確認する</v>
      </c>
      <c r="F145" s="39" t="str">
        <f>IFERROR(__xludf.DUMMYFUNCTION("GOOGLETRANSLATE(FT!F145,""vi"",""ja"")"),"6. 背景色 #D9D9D9 で 10 個のアイテムを表示します。
スクロールがあり、スクロールしてさらにアイテムを読み込むことができます")</f>
        <v>6. 背景色 #D9D9D9 で 10 個のアイテムを表示します。
スクロールがあり、スクロールしてさらにアイテムを読み込むことができます</v>
      </c>
      <c r="G145" s="40" t="s">
        <v>45</v>
      </c>
      <c r="H145" s="41" t="s">
        <v>46</v>
      </c>
      <c r="I145" s="42"/>
      <c r="J145" s="41" t="s">
        <v>46</v>
      </c>
      <c r="K145" s="42"/>
      <c r="L145" s="50" t="s">
        <v>667</v>
      </c>
      <c r="M145" s="50" t="s">
        <v>667</v>
      </c>
      <c r="N145" s="50" t="s">
        <v>667</v>
      </c>
      <c r="O145" s="51"/>
    </row>
    <row r="146" ht="15.75" customHeight="1">
      <c r="A146" s="38" t="str">
        <f t="shared" si="5"/>
        <v>FT_138</v>
      </c>
      <c r="B146" s="39"/>
      <c r="C146" s="39" t="str">
        <f>IFERROR(__xludf.DUMMYFUNCTION("GOOGLETRANSLATE(FT!C146,""vi"",""ja"")"),"タグ名レベル4の表示を確認する")</f>
        <v>タグ名レベル4の表示を確認する</v>
      </c>
      <c r="D146" s="39" t="str">
        <f>IFERROR(__xludf.DUMMYFUNCTION("GOOGLETRANSLATE(FT!D146,""vi"",""ja"")"),"タグ レベル 1 にはタグ レベル 2 があります 
タグ レベル 2 にはタグ レベル 3 が含まれます
タグレベル3にタグレベル4がある：タグレベル4の名前の文字数が表示枠より少ない")</f>
        <v>タグ レベル 1 にはタグ レベル 2 があります 
タグ レベル 2 にはタグ レベル 3 が含まれます
タグレベル3にタグレベル4がある：タグレベル4の名前の文字数が表示枠より少ない</v>
      </c>
      <c r="E146" s="39" t="str">
        <f>IFERROR(__xludf.DUMMYFUNCTION("GOOGLETRANSLATE(FT!E146,""vi"",""ja"")"),"1.デジタルツール一覧画面へ
2. 「学年・教科書」ドロップダウンをクリックします。
3. 前提条件のレベル 1 タグをクリックします。
4. 前提条件でレベル 2 タグをクリックします
5. 前提条件でレベル 3 タグをクリックします
6. レベル4のタグ名の表示を確認する")</f>
        <v>1.デジタルツール一覧画面へ
2. 「学年・教科書」ドロップダウンをクリックします。
3. 前提条件のレベル 1 タグをクリックします。
4. 前提条件でレベル 2 タグをクリックします
5. 前提条件でレベル 3 タグをクリックします
6. レベル4のタグ名の表示を確認する</v>
      </c>
      <c r="F146" s="39" t="str">
        <f>IFERROR(__xludf.DUMMYFUNCTION("GOOGLETRANSLATE(FT!F146,""vi"",""ja"")"),"6. 完全なレベル 4 タグ名を表示する")</f>
        <v>6. 完全なレベル 4 タグ名を表示する</v>
      </c>
      <c r="G146" s="40" t="s">
        <v>45</v>
      </c>
      <c r="H146" s="41" t="s">
        <v>46</v>
      </c>
      <c r="I146" s="42"/>
      <c r="J146" s="41" t="s">
        <v>46</v>
      </c>
      <c r="K146" s="42"/>
      <c r="L146" s="50" t="s">
        <v>667</v>
      </c>
      <c r="M146" s="50" t="s">
        <v>667</v>
      </c>
      <c r="N146" s="50" t="s">
        <v>667</v>
      </c>
      <c r="O146" s="51"/>
    </row>
    <row r="147" ht="15.75" customHeight="1">
      <c r="A147" s="38" t="str">
        <f t="shared" si="5"/>
        <v>FT_139</v>
      </c>
      <c r="B147" s="39"/>
      <c r="C147" s="39"/>
      <c r="D147" s="39" t="str">
        <f>IFERROR(__xludf.DUMMYFUNCTION("GOOGLETRANSLATE(FT!D147,""vi"",""ja"")"),"タグ レベル 1 にはタグ レベル 2 があります 
タグ レベル 2 にはタグ レベル 3 が含まれます
タグレベル3にタグレベル4がある：タグレベル4の名前の文字数が表示枠より長い")</f>
        <v>タグ レベル 1 にはタグ レベル 2 があります 
タグ レベル 2 にはタグ レベル 3 が含まれます
タグレベル3にタグレベル4がある：タグレベル4の名前の文字数が表示枠より長い</v>
      </c>
      <c r="E147" s="39" t="str">
        <f>IFERROR(__xludf.DUMMYFUNCTION("GOOGLETRANSLATE(FT!E147,""vi"",""ja"")"),"1.デジタルツール一覧画面へ
2. 「学年・教科書」ドロップダウンをクリックします。
3. 前提条件のレベル 1 タグをクリックします。
4. 前提条件でレベル 2 タグをクリックします
5. 前提条件でレベル 3 タグをクリックします
6. レベル4のタグ名の表示を確認する")</f>
        <v>1.デジタルツール一覧画面へ
2. 「学年・教科書」ドロップダウンをクリックします。
3. 前提条件のレベル 1 タグをクリックします。
4. 前提条件でレベル 2 タグをクリックします
5. 前提条件でレベル 3 タグをクリックします
6. レベル4のタグ名の表示を確認する</v>
      </c>
      <c r="F147" s="39" t="str">
        <f>IFERROR(__xludf.DUMMYFUNCTION("GOOGLETRANSLATE(FT!F147,""vi"",""ja"")"),"6.名前をフレームの限界まで表示し、残りの文字は切り取られます")</f>
        <v>6.名前をフレームの限界まで表示し、残りの文字は切り取られます</v>
      </c>
      <c r="G147" s="40" t="s">
        <v>45</v>
      </c>
      <c r="H147" s="41" t="s">
        <v>46</v>
      </c>
      <c r="I147" s="42"/>
      <c r="J147" s="41" t="s">
        <v>46</v>
      </c>
      <c r="K147" s="42"/>
      <c r="L147" s="50" t="s">
        <v>667</v>
      </c>
      <c r="M147" s="50" t="s">
        <v>667</v>
      </c>
      <c r="N147" s="50" t="s">
        <v>667</v>
      </c>
      <c r="O147" s="51"/>
    </row>
    <row r="148" ht="15.75" customHeight="1">
      <c r="A148" s="38" t="str">
        <f t="shared" si="5"/>
        <v>FT_140</v>
      </c>
      <c r="B148" s="39"/>
      <c r="C148" s="39" t="str">
        <f>IFERROR(__xludf.DUMMYFUNCTION("GOOGLETRANSLATE(FT!C148,""vi"",""ja"")"),"別のレベル 3 タグをチェックしてクリックします")</f>
        <v>別のレベル 3 タグをチェックしてクリックします</v>
      </c>
      <c r="D148" s="39" t="str">
        <f>IFERROR(__xludf.DUMMYFUNCTION("GOOGLETRANSLATE(FT!D148,""vi"",""ja"")"),"タグ レベル 1 にはレベル 2 のタグがあり、タグ レベル 2 にはレベル 3 のタグが多数あります")</f>
        <v>タグ レベル 1 にはレベル 2 のタグがあり、タグ レベル 2 にはレベル 3 のタグが多数あります</v>
      </c>
      <c r="E148" s="39" t="str">
        <f>IFERROR(__xludf.DUMMYFUNCTION("GOOGLETRANSLATE(FT!E148,""vi"",""ja"")"),"1.デジタルツール一覧画面へ
2. 「学年・教科書」ドロップダウンをクリックします。
3. 前提条件のレベル 1 タグをクリックします。
4. レベル 2 タグをクリックします。 
5. タグレベル 3 をクリックします。
6. 手順5のタグ以外のレベル3タグをクリック ⇒ レベル3,4タグ一覧の表示を確認")</f>
        <v>1.デジタルツール一覧画面へ
2. 「学年・教科書」ドロップダウンをクリックします。
3. 前提条件のレベル 1 タグをクリックします。
4. レベル 2 タグをクリックします。 
5. タグレベル 3 をクリックします。
6. 手順5のタグ以外のレベル3タグをクリック ⇒ レベル3,4タグ一覧の表示を確認</v>
      </c>
      <c r="F148" s="39" t="str">
        <f>IFERROR(__xludf.DUMMYFUNCTION("GOOGLETRANSLATE(FT!F148,""vi"",""ja"")"),"6. ステップ 5 のタグ レベル 3 が選択解除され、ステップ 6 のタグ レベル 3 が選択された状態で表示されます (背景 #FFCC00 を表示)。
   手順6でレベル3タグに属するレベル4タグのリストを表示します。")</f>
        <v>6. ステップ 5 のタグ レベル 3 が選択解除され、ステップ 6 のタグ レベル 3 が選択された状態で表示されます (背景 #FFCC00 を表示)。
   手順6でレベル3タグに属するレベル4タグのリストを表示します。</v>
      </c>
      <c r="G148" s="40" t="s">
        <v>45</v>
      </c>
      <c r="H148" s="41" t="s">
        <v>46</v>
      </c>
      <c r="I148" s="42"/>
      <c r="J148" s="41" t="s">
        <v>46</v>
      </c>
      <c r="K148" s="42"/>
      <c r="L148" s="50" t="s">
        <v>667</v>
      </c>
      <c r="M148" s="50" t="s">
        <v>667</v>
      </c>
      <c r="N148" s="50" t="s">
        <v>667</v>
      </c>
      <c r="O148" s="51"/>
    </row>
    <row r="149" ht="15.75" customHeight="1">
      <c r="A149" s="38" t="str">
        <f t="shared" si="5"/>
        <v>FT_141</v>
      </c>
      <c r="B149" s="39"/>
      <c r="C149" s="39" t="str">
        <f>IFERROR(__xludf.DUMMYFUNCTION("GOOGLETRANSLATE(FT!C149,""vi"",""ja"")"),"チェックすると、現在選択されているレベル 3 タグをクリックします。")</f>
        <v>チェックすると、現在選択されているレベル 3 タグをクリックします。</v>
      </c>
      <c r="D149" s="39" t="str">
        <f>IFERROR(__xludf.DUMMYFUNCTION("GOOGLETRANSLATE(FT!D149,""vi"",""ja"")"),"タグ レベル 1 にはタグ レベル 2 があり、タグ レベル 2 にはタグ レベル 3 があります。")</f>
        <v>タグ レベル 1 にはタグ レベル 2 があり、タグ レベル 2 にはタグ レベル 3 があります。</v>
      </c>
      <c r="E149" s="39" t="str">
        <f>IFERROR(__xludf.DUMMYFUNCTION("GOOGLETRANSLATE(FT!E149,""vi"",""ja"")"),"1.デジタルツール一覧画面へ
2. 「学年・教科書」ドロップダウンをクリックします。
3. 前提条件のレベル 1 タグをクリックします。
4. レベル 2 タグをクリックします。 
5. タグレベル 3 をクリックします。 
6. 手順5で再度タグレベル3をクリック ⇒ タグリストレベル3、4の表示を確認")</f>
        <v>1.デジタルツール一覧画面へ
2. 「学年・教科書」ドロップダウンをクリックします。
3. 前提条件のレベル 1 タグをクリックします。
4. レベル 2 タグをクリックします。 
5. タグレベル 3 をクリックします。 
6. 手順5で再度タグレベル3をクリック ⇒ タグリストレベル3、4の表示を確認</v>
      </c>
      <c r="F149" s="39" t="str">
        <f>IFERROR(__xludf.DUMMYFUNCTION("GOOGLETRANSLATE(FT!F149,""vi"",""ja"")"),"6. ステップ 5 のタグ レベル 3 の選択が解除されます。
    リストタグレベル 4 は空になります")</f>
        <v>6. ステップ 5 のタグ レベル 3 の選択が解除されます。
    リストタグレベル 4 は空になります</v>
      </c>
      <c r="G149" s="40" t="s">
        <v>45</v>
      </c>
      <c r="H149" s="41" t="s">
        <v>46</v>
      </c>
      <c r="I149" s="42"/>
      <c r="J149" s="41" t="s">
        <v>46</v>
      </c>
      <c r="K149" s="42"/>
      <c r="L149" s="50" t="s">
        <v>667</v>
      </c>
      <c r="M149" s="50" t="s">
        <v>667</v>
      </c>
      <c r="N149" s="50" t="s">
        <v>667</v>
      </c>
      <c r="O149" s="51"/>
    </row>
    <row r="150" ht="15.75" customHeight="1">
      <c r="A150" s="38" t="str">
        <f t="shared" si="5"/>
        <v>FT_142</v>
      </c>
      <c r="B150" s="39"/>
      <c r="C150" s="39" t="str">
        <f>IFERROR(__xludf.DUMMYFUNCTION("GOOGLETRANSLATE(FT!C150,""vi"",""ja"")"),"別のレベル 2 タグのクリックを確認します")</f>
        <v>別のレベル 2 タグのクリックを確認します</v>
      </c>
      <c r="D150" s="39" t="str">
        <f>IFERROR(__xludf.DUMMYFUNCTION("GOOGLETRANSLATE(FT!D150,""vi"",""ja"")"),"タグ レベル 1 には多数のレベル 2 タグがあり、タグ レベル 2 にはレベル 3 タグがあります")</f>
        <v>タグ レベル 1 には多数のレベル 2 タグがあり、タグ レベル 2 にはレベル 3 タグがあります</v>
      </c>
      <c r="E150" s="39" t="str">
        <f>IFERROR(__xludf.DUMMYFUNCTION("GOOGLETRANSLATE(FT!E150,""vi"",""ja"")"),"1.デジタルツール一覧画面へ
2. 「学年・教科書」ドロップダウンをクリックします。
3. 前提条件のレベル 1 タグをクリックします。
4. レベル 2 タグをクリックします
5. レベル 3 タグをクリックします
6. 手順4以外のレベル2タグをクリック ⇒ レベル2,3,4タグ一覧の表示を確認")</f>
        <v>1.デジタルツール一覧画面へ
2. 「学年・教科書」ドロップダウンをクリックします。
3. 前提条件のレベル 1 タグをクリックします。
4. レベル 2 タグをクリックします
5. レベル 3 タグをクリックします
6. 手順4以外のレベル2タグをクリック ⇒ レベル2,3,4タグ一覧の表示を確認</v>
      </c>
      <c r="F150" s="39" t="str">
        <f>IFERROR(__xludf.DUMMYFUNCTION("GOOGLETRANSLATE(FT!F150,""vi"",""ja"")"),"6. ステップ 4 のタグ レベル 2 の選択が解除され、ステップ 6 のタグ レベル 2 が選択されます。
    手順6でレベル2タグのタグレベル3リストを表示すると、レベル4タグリストは空になります。")</f>
        <v>6. ステップ 4 のタグ レベル 2 の選択が解除され、ステップ 6 のタグ レベル 2 が選択されます。
    手順6でレベル2タグのタグレベル3リストを表示すると、レベル4タグリストは空になります。</v>
      </c>
      <c r="G150" s="40" t="s">
        <v>45</v>
      </c>
      <c r="H150" s="41" t="s">
        <v>46</v>
      </c>
      <c r="I150" s="42"/>
      <c r="J150" s="41" t="s">
        <v>46</v>
      </c>
      <c r="K150" s="42"/>
      <c r="L150" s="50" t="s">
        <v>667</v>
      </c>
      <c r="M150" s="50" t="s">
        <v>667</v>
      </c>
      <c r="N150" s="50" t="s">
        <v>667</v>
      </c>
      <c r="O150" s="51"/>
    </row>
    <row r="151" ht="15.75" customHeight="1">
      <c r="A151" s="38" t="str">
        <f t="shared" si="5"/>
        <v>FT_143</v>
      </c>
      <c r="B151" s="39"/>
      <c r="C151" s="39" t="str">
        <f>IFERROR(__xludf.DUMMYFUNCTION("GOOGLETRANSLATE(FT!C151,""vi"",""ja"")"),"現在選択されているレベル 2 タグの 2 回目のクリックを確認します")</f>
        <v>現在選択されているレベル 2 タグの 2 回目のクリックを確認します</v>
      </c>
      <c r="D151" s="39" t="str">
        <f>IFERROR(__xludf.DUMMYFUNCTION("GOOGLETRANSLATE(FT!D151,""vi"",""ja"")"),"タグ レベル 1 には多数のレベル 2 タグがあり、タグ レベル 2 にはレベル 3 タグがあります")</f>
        <v>タグ レベル 1 には多数のレベル 2 タグがあり、タグ レベル 2 にはレベル 3 タグがあります</v>
      </c>
      <c r="E151" s="39" t="str">
        <f>IFERROR(__xludf.DUMMYFUNCTION("GOOGLETRANSLATE(FT!E151,""vi"",""ja"")"),"1.デジタルツール一覧画面へ
2. 「学年・教科書」ドロップダウンをクリックします。
3. 前提条件のレベル 1 タグをクリックします。
4. レベル 2 タグをクリックします
5. レベル 3 タグをクリックします
6. 手順4でタグレベル2を再度クリック ⇒ タグレベル2,3,4の一覧表示を確認します")</f>
        <v>1.デジタルツール一覧画面へ
2. 「学年・教科書」ドロップダウンをクリックします。
3. 前提条件のレベル 1 タグをクリックします。
4. レベル 2 タグをクリックします
5. レベル 3 タグをクリックします
6. 手順4でタグレベル2を再度クリック ⇒ タグレベル2,3,4の一覧表示を確認します</v>
      </c>
      <c r="F151" s="39" t="str">
        <f>IFERROR(__xludf.DUMMYFUNCTION("GOOGLETRANSLATE(FT!F151,""vi"",""ja"")"),"6. ステップ 4 のタグ レベル 2 の選択が解除されます。
    リストタグレベル 3、4 は空になります")</f>
        <v>6. ステップ 4 のタグ レベル 2 の選択が解除されます。
    リストタグレベル 3、4 は空になります</v>
      </c>
      <c r="G151" s="40" t="s">
        <v>45</v>
      </c>
      <c r="H151" s="41" t="s">
        <v>46</v>
      </c>
      <c r="I151" s="42"/>
      <c r="J151" s="41" t="s">
        <v>46</v>
      </c>
      <c r="K151" s="42"/>
      <c r="L151" s="50" t="s">
        <v>667</v>
      </c>
      <c r="M151" s="50" t="s">
        <v>667</v>
      </c>
      <c r="N151" s="50" t="s">
        <v>667</v>
      </c>
      <c r="O151" s="51"/>
    </row>
    <row r="152" ht="15.75" customHeight="1">
      <c r="A152" s="38" t="str">
        <f t="shared" si="5"/>
        <v>FT_144</v>
      </c>
      <c r="B152" s="39"/>
      <c r="C152" s="39" t="str">
        <f>IFERROR(__xludf.DUMMYFUNCTION("GOOGLETRANSLATE(FT!C152,""vi"",""ja"")"),"別のレベル 1 タグをクリックすることを確認します")</f>
        <v>別のレベル 1 タグをクリックすることを確認します</v>
      </c>
      <c r="D152" s="39" t="str">
        <f>IFERROR(__xludf.DUMMYFUNCTION("GOOGLETRANSLATE(FT!D152,""vi"",""ja"")"),"タグ レベル 1 にはタグ レベル 2 があり、タグ レベル 2 にはタグ レベル 3 があります。")</f>
        <v>タグ レベル 1 にはタグ レベル 2 があり、タグ レベル 2 にはタグ レベル 3 があります。</v>
      </c>
      <c r="E152" s="39" t="str">
        <f>IFERROR(__xludf.DUMMYFUNCTION("GOOGLETRANSLATE(FT!E152,""vi"",""ja"")"),"1.デジタルツール一覧画面へ
2. 「学年・教科書」ドロップダウンをクリックします。
3. 前提条件のレベル 1 タグをクリックします。
4. レベル 2 タグをクリックします
5. レベル 3 タグをクリックします
6. 手順3のタグ以外のレベル1タグをクリック ⇒ レベル1,2,3,4タグ一覧の表示を確認")</f>
        <v>1.デジタルツール一覧画面へ
2. 「学年・教科書」ドロップダウンをクリックします。
3. 前提条件のレベル 1 タグをクリックします。
4. レベル 2 タグをクリックします
5. レベル 3 タグをクリックします
6. 手順3のタグ以外のレベル1タグをクリック ⇒ レベル1,2,3,4タグ一覧の表示を確認</v>
      </c>
      <c r="F152" s="39" t="str">
        <f>IFERROR(__xludf.DUMMYFUNCTION("GOOGLETRANSLATE(FT!F152,""vi"",""ja"")"),"6. ステップ 3 のタグ レベル 1 が選択解除され、ステップ 6 のタグ レベル 1 が選択されます。
    手順 6 でレベル 1 タグのタグ レベル 2 リストを表示すると、タグ レベル 3 と 4 のリストは空になります。")</f>
        <v>6. ステップ 3 のタグ レベル 1 が選択解除され、ステップ 6 のタグ レベル 1 が選択されます。
    手順 6 でレベル 1 タグのタグ レベル 2 リストを表示すると、タグ レベル 3 と 4 のリストは空になります。</v>
      </c>
      <c r="G152" s="40" t="s">
        <v>45</v>
      </c>
      <c r="H152" s="41" t="s">
        <v>46</v>
      </c>
      <c r="I152" s="42"/>
      <c r="J152" s="41" t="s">
        <v>46</v>
      </c>
      <c r="K152" s="42"/>
      <c r="L152" s="50" t="s">
        <v>667</v>
      </c>
      <c r="M152" s="50" t="s">
        <v>667</v>
      </c>
      <c r="N152" s="50" t="s">
        <v>667</v>
      </c>
      <c r="O152" s="51"/>
    </row>
    <row r="153" ht="15.75" customHeight="1">
      <c r="A153" s="38" t="str">
        <f t="shared" si="5"/>
        <v>FT_145</v>
      </c>
      <c r="B153" s="39"/>
      <c r="C153" s="39" t="str">
        <f>IFERROR(__xludf.DUMMYFUNCTION("GOOGLETRANSLATE(FT!C153,""vi"",""ja"")"),"現在選択されているレベル 1 タグの 2 回目のクリックを確認します")</f>
        <v>現在選択されているレベル 1 タグの 2 回目のクリックを確認します</v>
      </c>
      <c r="D153" s="39" t="str">
        <f>IFERROR(__xludf.DUMMYFUNCTION("GOOGLETRANSLATE(FT!D153,""vi"",""ja"")"),"タグ レベル 1 にはタグ レベル 2 があり、タグ レベル 2 にはタグ レベル 3 があります。")</f>
        <v>タグ レベル 1 にはタグ レベル 2 があり、タグ レベル 2 にはタグ レベル 3 があります。</v>
      </c>
      <c r="E153" s="39" t="str">
        <f>IFERROR(__xludf.DUMMYFUNCTION("GOOGLETRANSLATE(FT!E153,""vi"",""ja"")"),"1.デジタルツール一覧画面へ
2. 「学年・教科書」ドロップダウンをクリックします。
3. 前提条件のレベル 1 タグをクリックします。
4. レベル 2 タグをクリックします
5. レベル 3 タグをクリックします
6. 手順3でタグレベル1を再度クリック ⇒ タグレベル1,2,3,4の一覧表示を確認します")</f>
        <v>1.デジタルツール一覧画面へ
2. 「学年・教科書」ドロップダウンをクリックします。
3. 前提条件のレベル 1 タグをクリックします。
4. レベル 2 タグをクリックします
5. レベル 3 タグをクリックします
6. 手順3でタグレベル1を再度クリック ⇒ タグレベル1,2,3,4の一覧表示を確認します</v>
      </c>
      <c r="F153" s="39" t="str">
        <f>IFERROR(__xludf.DUMMYFUNCTION("GOOGLETRANSLATE(FT!F153,""vi"",""ja"")"),"6. ステップ 3 のタグ レベル 1 の選択が解除されます。
    リストタグレベル 2、3、4 は空になります")</f>
        <v>6. ステップ 3 のタグ レベル 1 の選択が解除されます。
    リストタグレベル 2、3、4 は空になります</v>
      </c>
      <c r="G153" s="40" t="s">
        <v>45</v>
      </c>
      <c r="H153" s="41" t="s">
        <v>46</v>
      </c>
      <c r="I153" s="42"/>
      <c r="J153" s="41" t="s">
        <v>46</v>
      </c>
      <c r="K153" s="42"/>
      <c r="L153" s="50" t="s">
        <v>667</v>
      </c>
      <c r="M153" s="50" t="s">
        <v>667</v>
      </c>
      <c r="N153" s="50" t="s">
        <v>667</v>
      </c>
      <c r="O153" s="51"/>
    </row>
    <row r="154" ht="15.75" customHeight="1">
      <c r="A154" s="38" t="str">
        <f t="shared" si="5"/>
        <v>FT_146</v>
      </c>
      <c r="B154" s="39"/>
      <c r="C154" s="39" t="str">
        <f>IFERROR(__xludf.DUMMYFUNCTION("GOOGLETRANSLATE(FT!C154,""vi"",""ja"")"),"クリックしてタグ レベル 4 を選択することを確認します。")</f>
        <v>クリックしてタグ レベル 4 を選択することを確認します。</v>
      </c>
      <c r="D154" s="39" t="str">
        <f>IFERROR(__xludf.DUMMYFUNCTION("GOOGLETRANSLATE(FT!D154,""vi"",""ja"")"),"タグ レベル 1 にはタグ レベル 2 があります
タグ レベル 2 にはタグ レベル 3 があります
タグ レベル 3 にはタグ レベル 4 があります")</f>
        <v>タグ レベル 1 にはタグ レベル 2 があります
タグ レベル 2 にはタグ レベル 3 があります
タグ レベル 3 にはタグ レベル 4 があります</v>
      </c>
      <c r="E154" s="39" t="str">
        <f>IFERROR(__xludf.DUMMYFUNCTION("GOOGLETRANSLATE(FT!E154,""vi"",""ja"")"),"1.デジタルツール一覧画面へ
2. 「学年・教科書」ドロップダウンをクリックします。
3. 前提条件のレベル 1 タグをクリックします。
4. レベル 2 タグをクリックします
5. レベル 3 タグをクリックします
6. レベル4タグをクリック =&gt; 表示を確認")</f>
        <v>1.デジタルツール一覧画面へ
2. 「学年・教科書」ドロップダウンをクリックします。
3. 前提条件のレベル 1 タグをクリックします。
4. レベル 2 タグをクリックします
5. レベル 3 タグをクリックします
6. レベル4タグをクリック =&gt; 表示を確認</v>
      </c>
      <c r="F154" s="39" t="str">
        <f>IFERROR(__xludf.DUMMYFUNCTION("GOOGLETRANSLATE(FT!F154,""vi"",""ja"")"),"6. タグレベル 4 が選択されています (背景 #FFCC00 が表示されます)。")</f>
        <v>6. タグレベル 4 が選択されています (背景 #FFCC00 が表示されます)。</v>
      </c>
      <c r="G154" s="40" t="s">
        <v>45</v>
      </c>
      <c r="H154" s="41" t="s">
        <v>46</v>
      </c>
      <c r="I154" s="42"/>
      <c r="J154" s="41" t="s">
        <v>46</v>
      </c>
      <c r="K154" s="42"/>
      <c r="L154" s="50" t="s">
        <v>667</v>
      </c>
      <c r="M154" s="50" t="s">
        <v>667</v>
      </c>
      <c r="N154" s="50" t="s">
        <v>667</v>
      </c>
      <c r="O154" s="51"/>
    </row>
    <row r="155" ht="15.75" customHeight="1">
      <c r="A155" s="38" t="str">
        <f t="shared" si="5"/>
        <v>FT_147</v>
      </c>
      <c r="B155" s="39"/>
      <c r="C155" s="39" t="str">
        <f>IFERROR(__xludf.DUMMYFUNCTION("GOOGLETRANSLATE(FT!C155,""vi"",""ja"")"),"レベル4のタグが選択されてクリックされていることを確認します")</f>
        <v>レベル4のタグが選択されてクリックされていることを確認します</v>
      </c>
      <c r="D155" s="39" t="str">
        <f>IFERROR(__xludf.DUMMYFUNCTION("GOOGLETRANSLATE(FT!D155,""vi"",""ja"")"),"タグ レベル 1 にはタグ レベル 2 があります
タグ レベル 2 にはタグ レベル 3 があります
タグ レベル 3 にはタグ レベル 4 があります")</f>
        <v>タグ レベル 1 にはタグ レベル 2 があります
タグ レベル 2 にはタグ レベル 3 があります
タグ レベル 3 にはタグ レベル 4 があります</v>
      </c>
      <c r="E155" s="39" t="str">
        <f>IFERROR(__xludf.DUMMYFUNCTION("GOOGLETRANSLATE(FT!E155,""vi"",""ja"")"),"1.デジタルツール一覧画面へ
2. 「学年・教科書」ドロップダウンをクリックします。
3. 前提条件のレベル 1 タグをクリックします。
4. レベル 2 タグをクリックします
5. レベル 3 タグをクリックします
6. レベル 4 のタグをクリックします
7. 手順 6 のタグレベル 4 を再度クリック =&gt; 表示を確認します")</f>
        <v>1.デジタルツール一覧画面へ
2. 「学年・教科書」ドロップダウンをクリックします。
3. 前提条件のレベル 1 タグをクリックします。
4. レベル 2 タグをクリックします
5. レベル 3 タグをクリックします
6. レベル 4 のタグをクリックします
7. 手順 6 のタグレベル 4 を再度クリック =&gt; 表示を確認します</v>
      </c>
      <c r="F155" s="39" t="str">
        <f>IFERROR(__xludf.DUMMYFUNCTION("GOOGLETRANSLATE(FT!F155,""vi"",""ja"")"),"7. タグ レベル 4 の選択が解除されます (背景 #FFCC00 が失われます)")</f>
        <v>7. タグ レベル 4 の選択が解除されます (背景 #FFCC00 が失われます)</v>
      </c>
      <c r="G155" s="40" t="s">
        <v>45</v>
      </c>
      <c r="H155" s="41" t="s">
        <v>46</v>
      </c>
      <c r="I155" s="42"/>
      <c r="J155" s="41" t="s">
        <v>46</v>
      </c>
      <c r="K155" s="42"/>
      <c r="L155" s="50" t="s">
        <v>667</v>
      </c>
      <c r="M155" s="50" t="s">
        <v>667</v>
      </c>
      <c r="N155" s="50" t="s">
        <v>667</v>
      </c>
      <c r="O155" s="51"/>
    </row>
    <row r="156" ht="15.75" customHeight="1">
      <c r="A156" s="38" t="str">
        <f t="shared" si="5"/>
        <v>FT_148</v>
      </c>
      <c r="B156" s="39" t="str">
        <f>IFERROR(__xludf.DUMMYFUNCTION("GOOGLETRANSLATE(FT!B156,""vi"",""ja"")"),"タグを選択せず​​に検索をテストします")</f>
        <v>タグを選択せず​​に検索をテストします</v>
      </c>
      <c r="C156" s="39" t="str">
        <f>IFERROR(__xludf.DUMMYFUNCTION("GOOGLETRANSLATE(FT!C156,""vi"",""ja"")"),"タグを選択せず​​に検索を確認する")</f>
        <v>タグを選択せず​​に検索を確認する</v>
      </c>
      <c r="D156" s="39" t="str">
        <f>IFERROR(__xludf.DUMMYFUNCTION("GOOGLETRANSLATE(FT!D156,""vi"",""ja"")"),"1.デジタルツール一覧画面へ
2. 「学年・教科書」ドロップダウンをクリックします。
3.「さがす」ボタンをクリック")</f>
        <v>1.デジタルツール一覧画面へ
2. 「学年・教科書」ドロップダウンをクリックします。
3.「さがす」ボタンをクリック</v>
      </c>
      <c r="E156" s="39" t="str">
        <f>IFERROR(__xludf.DUMMYFUNCTION("GOOGLETRANSLATE(FT!E156,""vi"",""ja"")"),"1. 検索結果画面へ
2. パンくずリストの表示を確認する
3. 表示されたデータ一覧を確認する")</f>
        <v>1. 検索結果画面へ
2. パンくずリストの表示を確認する
3. 表示されたデータ一覧を確認する</v>
      </c>
      <c r="F156" s="39" t="str">
        <f>IFERROR(__xludf.DUMMYFUNCTION("GOOGLETRANSLATE(FT!F156,""vi"",""ja"")"),"2. 結果画面を「学年・教科書」の文字のみでクリックできないパンくずリストで表示する
3. リストデータは【教科書・学年】に属する全てのデジタルツールです")</f>
        <v>2. 結果画面を「学年・教科書」の文字のみでクリックできないパンくずリストで表示する
3. リストデータは【教科書・学年】に属する全てのデジタルツールです</v>
      </c>
      <c r="G156" s="40" t="s">
        <v>45</v>
      </c>
      <c r="H156" s="41" t="s">
        <v>46</v>
      </c>
      <c r="I156" s="42"/>
      <c r="J156" s="41" t="s">
        <v>46</v>
      </c>
      <c r="K156" s="42"/>
      <c r="L156" s="50" t="s">
        <v>667</v>
      </c>
      <c r="M156" s="50" t="s">
        <v>667</v>
      </c>
      <c r="N156" s="50" t="s">
        <v>667</v>
      </c>
      <c r="O156" s="51"/>
    </row>
    <row r="157" ht="15.75" customHeight="1">
      <c r="A157" s="38" t="str">
        <f t="shared" si="5"/>
        <v>FT_149</v>
      </c>
      <c r="B157" s="39" t="str">
        <f>IFERROR(__xludf.DUMMYFUNCTION("GOOGLETRANSLATE(FT!B157,""vi"",""ja"")"),"タグレベル 1 でのテスト検索")</f>
        <v>タグレベル 1 でのテスト検索</v>
      </c>
      <c r="C157" s="39" t="str">
        <f>IFERROR(__xludf.DUMMYFUNCTION("GOOGLETRANSLATE(FT!C157,""vi"",""ja"")"),"タグレベル 1 でのテスト検索")</f>
        <v>タグレベル 1 でのテスト検索</v>
      </c>
      <c r="D157" s="39" t="str">
        <f>IFERROR(__xludf.DUMMYFUNCTION("GOOGLETRANSLATE(FT!D157,""vi"",""ja"")"),"1.デジタルツール一覧画面へ
2. 「学年・教科書」ドロップダウンをクリックします。
3. デジタル ツール イメージを含むレベル 1 タグをクリックして選択します
4.「さがす」ボタンをクリック")</f>
        <v>1.デジタルツール一覧画面へ
2. 「学年・教科書」ドロップダウンをクリックします。
3. デジタル ツール イメージを含むレベル 1 タグをクリックして選択します
4.「さがす」ボタンをクリック</v>
      </c>
      <c r="E157" s="39" t="str">
        <f>IFERROR(__xludf.DUMMYFUNCTION("GOOGLETRANSLATE(FT!E157,""vi"",""ja"")"),"1. 検索結果画面へ
2. パンくずリストの表示を確認する
3. 表示されたデータ一覧を確認する")</f>
        <v>1. 検索結果画面へ
2. パンくずリストの表示を確認する
3. 表示されたデータ一覧を確認する</v>
      </c>
      <c r="F157" s="39" t="str">
        <f>IFERROR(__xludf.DUMMYFUNCTION("GOOGLETRANSLATE(FT!F157,""vi"",""ja"")"),"2. 結果画面をパンくずリストで表示：学年・教科書 &gt; [第1層タグ] 
ここで、学年・教科書はリンクテキスト、[第1層タグ]はテキストです
3. リストデータには、タグレベル 1 に属するすべてのデジタルツールが表示されます")</f>
        <v>2. 結果画面をパンくずリストで表示：学年・教科書 &gt; [第1層タグ] 
ここで、学年・教科書はリンクテキスト、[第1層タグ]はテキストです
3. リストデータには、タグレベル 1 に属するすべてのデジタルツールが表示されます</v>
      </c>
      <c r="G157" s="40" t="s">
        <v>45</v>
      </c>
      <c r="H157" s="41" t="s">
        <v>46</v>
      </c>
      <c r="I157" s="42"/>
      <c r="J157" s="41" t="s">
        <v>46</v>
      </c>
      <c r="K157" s="42"/>
      <c r="L157" s="50" t="s">
        <v>667</v>
      </c>
      <c r="M157" s="50" t="s">
        <v>667</v>
      </c>
      <c r="N157" s="50" t="s">
        <v>667</v>
      </c>
      <c r="O157" s="51"/>
    </row>
    <row r="158" ht="15.75" customHeight="1">
      <c r="A158" s="38" t="str">
        <f t="shared" si="5"/>
        <v>FT_150</v>
      </c>
      <c r="B158" s="39"/>
      <c r="C158" s="39"/>
      <c r="D158" s="39" t="str">
        <f>IFERROR(__xludf.DUMMYFUNCTION("GOOGLETRANSLATE(FT!D158,""vi"",""ja"")"),"1.デジタルツール一覧画面へ
2. 「学年・教科書」ドロップダウンをクリックします。
3. デジタル ツール イメージのないレベル 1 タグをクリックして選択します
4.「さがす」ボタンをクリック")</f>
        <v>1.デジタルツール一覧画面へ
2. 「学年・教科書」ドロップダウンをクリックします。
3. デジタル ツール イメージのないレベル 1 タグをクリックして選択します
4.「さがす」ボタンをクリック</v>
      </c>
      <c r="E158" s="39" t="str">
        <f>IFERROR(__xludf.DUMMYFUNCTION("GOOGLETRANSLATE(FT!E158,""vi"",""ja"")"),"1. 検索結果画面へ
2. パンくずリストの表示を確認する
3. 表示されたデータ一覧を確認する")</f>
        <v>1. 検索結果画面へ
2. パンくずリストの表示を確認する
3. 表示されたデータ一覧を確認する</v>
      </c>
      <c r="F158" s="39" t="str">
        <f>IFERROR(__xludf.DUMMYFUNCTION("GOOGLETRANSLATE(FT!F158,""vi"",""ja"")"),"2. 結果画面をパンくずリストで表示：学年・教科書 &gt; [第1層タグ] 
ここで、学年・教科書はリンクテキスト、[第1層タグ]はテキストです
3. リストデータが空です")</f>
        <v>2. 結果画面をパンくずリストで表示：学年・教科書 &gt; [第1層タグ] 
ここで、学年・教科書はリンクテキスト、[第1層タグ]はテキストです
3. リストデータが空です</v>
      </c>
      <c r="G158" s="40" t="s">
        <v>45</v>
      </c>
      <c r="H158" s="41" t="s">
        <v>46</v>
      </c>
      <c r="I158" s="42"/>
      <c r="J158" s="41" t="s">
        <v>46</v>
      </c>
      <c r="K158" s="42"/>
      <c r="L158" s="50" t="s">
        <v>667</v>
      </c>
      <c r="M158" s="50" t="s">
        <v>667</v>
      </c>
      <c r="N158" s="50" t="s">
        <v>667</v>
      </c>
      <c r="O158" s="51"/>
    </row>
    <row r="159" ht="15.75" customHeight="1">
      <c r="A159" s="38" t="str">
        <f t="shared" si="5"/>
        <v>FT_151</v>
      </c>
      <c r="B159" s="39"/>
      <c r="C159" s="39" t="str">
        <f>IFERROR(__xludf.DUMMYFUNCTION("GOOGLETRANSLATE(FT!C159,""vi"",""ja"")"),"パンくずリストの表示を確認する")</f>
        <v>パンくずリストの表示を確認する</v>
      </c>
      <c r="D159" s="39" t="str">
        <f>IFERROR(__xludf.DUMMYFUNCTION("GOOGLETRANSLATE(FT!D159,""vi"",""ja"")"),"1.デジタルツール一覧画面へ
2. 「学年・教科書」ドロップダウンをクリックします。
3. 名前が 10 文字以下のレベル 1 タグをクリックして選択します
4.「さがす」ボタンをクリック")</f>
        <v>1.デジタルツール一覧画面へ
2. 「学年・教科書」ドロップダウンをクリックします。
3. 名前が 10 文字以下のレベル 1 タグをクリックして選択します
4.「さがす」ボタンをクリック</v>
      </c>
      <c r="E159" s="39" t="str">
        <f>IFERROR(__xludf.DUMMYFUNCTION("GOOGLETRANSLATE(FT!E159,""vi"",""ja"")"),"1. 検索結果画面へ
2. パンくずリストの表示を確認する")</f>
        <v>1. 検索結果画面へ
2. パンくずリストの表示を確認する</v>
      </c>
      <c r="F159" s="39" t="str">
        <f>IFERROR(__xludf.DUMMYFUNCTION("GOOGLETRANSLATE(FT!F159,""vi"",""ja"")"),"2. レベル 1 のタグ名が完全に表示されます")</f>
        <v>2. レベル 1 のタグ名が完全に表示されます</v>
      </c>
      <c r="G159" s="40" t="s">
        <v>45</v>
      </c>
      <c r="H159" s="41" t="s">
        <v>46</v>
      </c>
      <c r="I159" s="42"/>
      <c r="J159" s="41" t="s">
        <v>46</v>
      </c>
      <c r="K159" s="42"/>
      <c r="L159" s="50" t="s">
        <v>667</v>
      </c>
      <c r="M159" s="50" t="s">
        <v>667</v>
      </c>
      <c r="N159" s="50" t="s">
        <v>667</v>
      </c>
      <c r="O159" s="51"/>
    </row>
    <row r="160" ht="15.75" customHeight="1">
      <c r="A160" s="80" t="str">
        <f t="shared" si="5"/>
        <v>FT_152</v>
      </c>
      <c r="B160" s="72"/>
      <c r="C160" s="72"/>
      <c r="D160" s="72" t="str">
        <f>IFERROR(__xludf.DUMMYFUNCTION("GOOGLETRANSLATE(FT!D160,""vi"",""ja"")"),"1.デジタルツール一覧画面へ
2. 「学年・教科書」ドロップダウンをクリックします。
3. 名前が 10 文字を超えるレベル 1 タグをクリックして選択します
4.「さがす」ボタンをクリック")</f>
        <v>1.デジタルツール一覧画面へ
2. 「学年・教科書」ドロップダウンをクリックします。
3. 名前が 10 文字を超えるレベル 1 タグをクリックして選択します
4.「さがす」ボタンをクリック</v>
      </c>
      <c r="E160" s="72" t="str">
        <f>IFERROR(__xludf.DUMMYFUNCTION("GOOGLETRANSLATE(FT!E160,""vi"",""ja"")"),"1. 検索結果画面へ
2. パンくずリストの表示を確認する")</f>
        <v>1. 検索結果画面へ
2. パンくずリストの表示を確認する</v>
      </c>
      <c r="F160" s="72" t="str">
        <f>IFERROR(__xludf.DUMMYFUNCTION("GOOGLETRANSLATE(FT!F160,""vi"",""ja"")"),"2. レベル1タグ名は10文字表示、11文字目以降は切り捨て")</f>
        <v>2. レベル1タグ名は10文字表示、11文字目以降は切り捨て</v>
      </c>
      <c r="G160" s="81" t="s">
        <v>45</v>
      </c>
      <c r="H160" s="82" t="s">
        <v>46</v>
      </c>
      <c r="I160" s="56"/>
      <c r="J160" s="82" t="s">
        <v>46</v>
      </c>
      <c r="K160" s="56"/>
      <c r="L160" s="50" t="s">
        <v>667</v>
      </c>
      <c r="M160" s="50" t="s">
        <v>667</v>
      </c>
      <c r="N160" s="50" t="s">
        <v>667</v>
      </c>
      <c r="O160" s="83"/>
    </row>
    <row r="161" ht="15.75" customHeight="1">
      <c r="A161" s="38" t="str">
        <f t="shared" si="5"/>
        <v>FT_153</v>
      </c>
      <c r="B161" s="39"/>
      <c r="C161" s="39" t="str">
        <f>IFERROR(__xludf.DUMMYFUNCTION("GOOGLETRANSLATE(FT!C161,""vi"",""ja"")"),"パンくずリストをクリックして確認してください")</f>
        <v>パンくずリストをクリックして確認してください</v>
      </c>
      <c r="D161" s="39" t="str">
        <f>IFERROR(__xludf.DUMMYFUNCTION("GOOGLETRANSLATE(FT!D161,""vi"",""ja"")"),"1.デジタルツール一覧画面へ
2. 「学年・教科書」ドロップダウンをクリックします。
3. デジタル ツール イメージを含むレベル 1 タグをクリックして選択します
4.「さがす」ボタンをクリック")</f>
        <v>1.デジタルツール一覧画面へ
2. 「学年・教科書」ドロップダウンをクリックします。
3. デジタル ツール イメージを含むレベル 1 タグをクリックして選択します
4.「さがす」ボタンをクリック</v>
      </c>
      <c r="E161" s="39" t="str">
        <f>IFERROR(__xludf.DUMMYFUNCTION("GOOGLETRANSLATE(FT!E161,""vi"",""ja"")"),"1. 検索結果画面へ
2. パンくずリストの学年・教科書リンクをクリックした際にチェックを入れます")</f>
        <v>1. 検索結果画面へ
2. パンくずリストの学年・教科書リンクをクリックした際にチェックを入れます</v>
      </c>
      <c r="F161" s="39" t="str">
        <f>IFERROR(__xludf.DUMMYFUNCTION("GOOGLETRANSLATE(FT!F161,""vi"",""ja"")"),"2. 結果画面を「学年・教科書」の文字のみでクリックできないパンくずリストで表示する
    リストデータは[教科書・学年]に属する全てのデジタルツールです")</f>
        <v>2. 結果画面を「学年・教科書」の文字のみでクリックできないパンくずリストで表示する
    リストデータは[教科書・学年]に属する全てのデジタルツールです</v>
      </c>
      <c r="G161" s="40" t="s">
        <v>45</v>
      </c>
      <c r="H161" s="41" t="s">
        <v>46</v>
      </c>
      <c r="I161" s="42"/>
      <c r="J161" s="41" t="s">
        <v>46</v>
      </c>
      <c r="K161" s="42"/>
      <c r="L161" s="50" t="s">
        <v>667</v>
      </c>
      <c r="M161" s="50" t="s">
        <v>667</v>
      </c>
      <c r="N161" s="50" t="s">
        <v>667</v>
      </c>
      <c r="O161" s="51"/>
    </row>
    <row r="162" ht="15.75" customHeight="1">
      <c r="A162" s="38" t="str">
        <f t="shared" si="5"/>
        <v>FT_154</v>
      </c>
      <c r="B162" s="39" t="str">
        <f>IFERROR(__xludf.DUMMYFUNCTION("GOOGLETRANSLATE(FT!B162,""vi"",""ja"")"),"タグレベル 2 でのテスト検索")</f>
        <v>タグレベル 2 でのテスト検索</v>
      </c>
      <c r="C162" s="39" t="str">
        <f>IFERROR(__xludf.DUMMYFUNCTION("GOOGLETRANSLATE(FT!C162,""vi"",""ja"")"),"タグレベル 2 を選択したときに検索をチェックする")</f>
        <v>タグレベル 2 を選択したときに検索をチェックする</v>
      </c>
      <c r="D162" s="39" t="str">
        <f>IFERROR(__xludf.DUMMYFUNCTION("GOOGLETRANSLATE(FT!D162,""vi"",""ja"")"),"1.デジタルツール一覧画面へ
2. 「学年・教科書」ドロップダウンをクリックします。
3. レベル 2 タグを持つレベル 1 タグをクリックして選択します
4. デジタルツールでレベル 2 タグをクリックして選択します
5.「さがす」ボタンをクリック")</f>
        <v>1.デジタルツール一覧画面へ
2. 「学年・教科書」ドロップダウンをクリックします。
3. レベル 2 タグを持つレベル 1 タグをクリックして選択します
4. デジタルツールでレベル 2 タグをクリックして選択します
5.「さがす」ボタンをクリック</v>
      </c>
      <c r="E162" s="39" t="str">
        <f>IFERROR(__xludf.DUMMYFUNCTION("GOOGLETRANSLATE(FT!E162,""vi"",""ja"")"),"1. 検索結果画面へ
2. パンくずリストの表示を確認する
3. 表示されたデータ一覧を確認する")</f>
        <v>1. 検索結果画面へ
2. パンくずリストの表示を確認する
3. 表示されたデータ一覧を確認する</v>
      </c>
      <c r="F162" s="39" t="str">
        <f>IFERROR(__xludf.DUMMYFUNCTION("GOOGLETRANSLATE(FT!F162,""vi"",""ja"")"),"2. 結果画面をブレッドクラムで表示：学年・教科書 &gt; [第1層タグ] &gt; [第2層タグ]
と ： 
     学年・教科書、[第1層タグ]はクリック可能なテキストリンクです 
      [第2層タグ]はクリックできないテキストです
3. リストデータには、タグレベル 2 に属するすべてのデジタルツールが表示されます")</f>
        <v>2. 結果画面をブレッドクラムで表示：学年・教科書 &gt; [第1層タグ] &gt; [第2層タグ]
と ： 
     学年・教科書、[第1層タグ]はクリック可能なテキストリンクです 
      [第2層タグ]はクリックできないテキストです
3. リストデータには、タグレベル 2 に属するすべてのデジタルツールが表示されます</v>
      </c>
      <c r="G162" s="40" t="s">
        <v>45</v>
      </c>
      <c r="H162" s="41" t="s">
        <v>46</v>
      </c>
      <c r="I162" s="42"/>
      <c r="J162" s="41" t="s">
        <v>46</v>
      </c>
      <c r="K162" s="42"/>
      <c r="L162" s="50" t="s">
        <v>667</v>
      </c>
      <c r="M162" s="50" t="s">
        <v>667</v>
      </c>
      <c r="N162" s="50" t="s">
        <v>667</v>
      </c>
      <c r="O162" s="51"/>
    </row>
    <row r="163" ht="15.75" customHeight="1">
      <c r="A163" s="38" t="str">
        <f t="shared" si="5"/>
        <v>FT_155</v>
      </c>
      <c r="B163" s="39"/>
      <c r="C163" s="39"/>
      <c r="D163" s="39" t="str">
        <f>IFERROR(__xludf.DUMMYFUNCTION("GOOGLETRANSLATE(FT!D163,""vi"",""ja"")"),"1.デジタルツール一覧画面へ
2. 「学年・教科書」ドロップダウンをクリックします。
3. レベル 2 タグを持つレベル 1 タグをクリックして選択します
4. デジタルツールを使用せずにレベル 2 タグをクリックして選択します
5.「さがす」ボタンをクリック")</f>
        <v>1.デジタルツール一覧画面へ
2. 「学年・教科書」ドロップダウンをクリックします。
3. レベル 2 タグを持つレベル 1 タグをクリックして選択します
4. デジタルツールを使用せずにレベル 2 タグをクリックして選択します
5.「さがす」ボタンをクリック</v>
      </c>
      <c r="E163" s="39" t="str">
        <f>IFERROR(__xludf.DUMMYFUNCTION("GOOGLETRANSLATE(FT!E163,""vi"",""ja"")"),"1. 検索結果画面へ
2. パンくずリストの表示を確認する
3. 表示されたデータ一覧を確認する")</f>
        <v>1. 検索結果画面へ
2. パンくずリストの表示を確認する
3. 表示されたデータ一覧を確認する</v>
      </c>
      <c r="F163" s="39" t="str">
        <f>IFERROR(__xludf.DUMMYFUNCTION("GOOGLETRANSLATE(FT!F163,""vi"",""ja"")"),"2. 結果画面をブレッドクラムで表示：学年・教科書 &gt; [第1層タグ] &gt; [第2層タグ]
と ： 
     学年・教科書、[第1層タグ]はクリック可能なテキストリンクです 
      [第2層タグ]はクリックできないテキストです
3. リストデータが空です")</f>
        <v>2. 結果画面をブレッドクラムで表示：学年・教科書 &gt; [第1層タグ] &gt; [第2層タグ]
と ： 
     学年・教科書、[第1層タグ]はクリック可能なテキストリンクです 
      [第2層タグ]はクリックできないテキストです
3. リストデータが空です</v>
      </c>
      <c r="G163" s="40" t="s">
        <v>45</v>
      </c>
      <c r="H163" s="41" t="s">
        <v>46</v>
      </c>
      <c r="I163" s="42"/>
      <c r="J163" s="41" t="s">
        <v>46</v>
      </c>
      <c r="K163" s="42"/>
      <c r="L163" s="50" t="s">
        <v>667</v>
      </c>
      <c r="M163" s="50" t="s">
        <v>667</v>
      </c>
      <c r="N163" s="50" t="s">
        <v>667</v>
      </c>
      <c r="O163" s="51"/>
    </row>
    <row r="164" ht="15.75" customHeight="1">
      <c r="A164" s="38" t="str">
        <f t="shared" si="5"/>
        <v>FT_156</v>
      </c>
      <c r="B164" s="39"/>
      <c r="C164" s="39" t="str">
        <f>IFERROR(__xludf.DUMMYFUNCTION("GOOGLETRANSLATE(FT!C164,""vi"",""ja"")"),"パンくずリストの表示を確認する")</f>
        <v>パンくずリストの表示を確認する</v>
      </c>
      <c r="D164" s="39" t="str">
        <f>IFERROR(__xludf.DUMMYFUNCTION("GOOGLETRANSLATE(FT!D164,""vi"",""ja"")"),"1.デジタルツール一覧画面へ
2. 「学年・教科書」ドロップダウンをクリックします。
3. レベル 2 タグを持つレベル 1 タグをクリックして選択します
4. 名前が 10 文字以下のレベル 2 タグをクリックして選択します
5.「さがす」ボタンをクリック")</f>
        <v>1.デジタルツール一覧画面へ
2. 「学年・教科書」ドロップダウンをクリックします。
3. レベル 2 タグを持つレベル 1 タグをクリックして選択します
4. 名前が 10 文字以下のレベル 2 タグをクリックして選択します
5.「さがす」ボタンをクリック</v>
      </c>
      <c r="E164" s="39" t="str">
        <f>IFERROR(__xludf.DUMMYFUNCTION("GOOGLETRANSLATE(FT!E164,""vi"",""ja"")"),"1. 検索結果画面へ
2. パンくずリストの表示を確認する")</f>
        <v>1. 検索結果画面へ
2. パンくずリストの表示を確認する</v>
      </c>
      <c r="F164" s="39" t="str">
        <f>IFERROR(__xludf.DUMMYFUNCTION("GOOGLETRANSLATE(FT!F164,""vi"",""ja"")"),"2. レベル 2 のタグ名が完全に表示されます")</f>
        <v>2. レベル 2 のタグ名が完全に表示されます</v>
      </c>
      <c r="G164" s="40" t="s">
        <v>45</v>
      </c>
      <c r="H164" s="41" t="s">
        <v>46</v>
      </c>
      <c r="I164" s="42"/>
      <c r="J164" s="41" t="s">
        <v>46</v>
      </c>
      <c r="K164" s="42"/>
      <c r="L164" s="50" t="s">
        <v>667</v>
      </c>
      <c r="M164" s="50" t="s">
        <v>667</v>
      </c>
      <c r="N164" s="50" t="s">
        <v>667</v>
      </c>
      <c r="O164" s="51"/>
    </row>
    <row r="165" ht="15.75" customHeight="1">
      <c r="A165" s="80" t="str">
        <f t="shared" si="5"/>
        <v>FT_157</v>
      </c>
      <c r="B165" s="72"/>
      <c r="C165" s="72"/>
      <c r="D165" s="72" t="str">
        <f>IFERROR(__xludf.DUMMYFUNCTION("GOOGLETRANSLATE(FT!D165,""vi"",""ja"")"),"1.デジタルツール一覧画面へ
2. 「学年・教科書」ドロップダウンをクリックします。
3. レベル 2 タグを持つレベル 1 タグをクリックして選択します
4. 名前が 10 文字を超えるレベル 2 タグをクリックして選択します
5.「さがす」ボタンをクリック")</f>
        <v>1.デジタルツール一覧画面へ
2. 「学年・教科書」ドロップダウンをクリックします。
3. レベル 2 タグを持つレベル 1 タグをクリックして選択します
4. 名前が 10 文字を超えるレベル 2 タグをクリックして選択します
5.「さがす」ボタンをクリック</v>
      </c>
      <c r="E165" s="72" t="str">
        <f>IFERROR(__xludf.DUMMYFUNCTION("GOOGLETRANSLATE(FT!E165,""vi"",""ja"")"),"1. 検索結果画面へ
2. パンくずリストの表示を確認する")</f>
        <v>1. 検索結果画面へ
2. パンくずリストの表示を確認する</v>
      </c>
      <c r="F165" s="72" t="str">
        <f>IFERROR(__xludf.DUMMYFUNCTION("GOOGLETRANSLATE(FT!F165,""vi"",""ja"")"),"2. レベル2のタグ名は10文字表示され、11文字目以降が切り捨てられます。")</f>
        <v>2. レベル2のタグ名は10文字表示され、11文字目以降が切り捨てられます。</v>
      </c>
      <c r="G165" s="81" t="s">
        <v>45</v>
      </c>
      <c r="H165" s="82" t="s">
        <v>46</v>
      </c>
      <c r="I165" s="56"/>
      <c r="J165" s="82" t="s">
        <v>46</v>
      </c>
      <c r="K165" s="56"/>
      <c r="L165" s="50" t="s">
        <v>667</v>
      </c>
      <c r="M165" s="50" t="s">
        <v>667</v>
      </c>
      <c r="N165" s="50" t="s">
        <v>667</v>
      </c>
      <c r="O165" s="83"/>
    </row>
    <row r="166" ht="15.75" customHeight="1">
      <c r="A166" s="38" t="str">
        <f t="shared" si="5"/>
        <v>FT_158</v>
      </c>
      <c r="B166" s="39"/>
      <c r="C166" s="39" t="str">
        <f>IFERROR(__xludf.DUMMYFUNCTION("GOOGLETRANSLATE(FT!C166,""vi"",""ja"")"),"パンくずリストをクリックして確認してください")</f>
        <v>パンくずリストをクリックして確認してください</v>
      </c>
      <c r="D166" s="39" t="str">
        <f>IFERROR(__xludf.DUMMYFUNCTION("GOOGLETRANSLATE(FT!D166,""vi"",""ja"")"),"1.デジタルツール一覧画面へ
2. 「学年・教科書」ドロップダウンをクリックします。
3. レベル 2 タグを持つレベル 1 タグをクリックして選択します
4. レベル 2 タグをクリックして選択します
5.「さがす」ボタンをクリック")</f>
        <v>1.デジタルツール一覧画面へ
2. 「学年・教科書」ドロップダウンをクリックします。
3. レベル 2 タグを持つレベル 1 タグをクリックして選択します
4. レベル 2 タグをクリックして選択します
5.「さがす」ボタンをクリック</v>
      </c>
      <c r="E166" s="39" t="str">
        <f>IFERROR(__xludf.DUMMYFUNCTION("GOOGLETRANSLATE(FT!E166,""vi"",""ja"")"),"1. 検索結果画面へ
2. パンくずリストのリンク「第1層タグ」をクリックした際にチェックを入れる")</f>
        <v>1. 検索結果画面へ
2. パンくずリストのリンク「第1層タグ」をクリックした際にチェックを入れる</v>
      </c>
      <c r="F166" s="39" t="str">
        <f>IFERROR(__xludf.DUMMYFUNCTION("GOOGLETRANSLATE(FT!F166,""vi"",""ja"")"),"2. 結果画面をパンくずリストで表示：学年・教科書 &gt; [第1層タグ]  
と ： 
     学年・教科書はクリック可能なテキストリンクです 
      [第1層タグ]はクリックできないテキストです
- リストデータはタグレベル1に属するすべてのデジタルツールです")</f>
        <v>2. 結果画面をパンくずリストで表示：学年・教科書 &gt; [第1層タグ]  
と ： 
     学年・教科書はクリック可能なテキストリンクです 
      [第1層タグ]はクリックできないテキストです
- リストデータはタグレベル1に属するすべてのデジタルツールです</v>
      </c>
      <c r="G166" s="40" t="s">
        <v>45</v>
      </c>
      <c r="H166" s="41" t="s">
        <v>46</v>
      </c>
      <c r="I166" s="42"/>
      <c r="J166" s="41" t="s">
        <v>46</v>
      </c>
      <c r="K166" s="42"/>
      <c r="L166" s="50" t="s">
        <v>667</v>
      </c>
      <c r="M166" s="50" t="s">
        <v>667</v>
      </c>
      <c r="N166" s="50" t="s">
        <v>667</v>
      </c>
      <c r="O166" s="51"/>
    </row>
    <row r="167" ht="15.75" customHeight="1">
      <c r="A167" s="38" t="str">
        <f t="shared" si="5"/>
        <v>FT_159</v>
      </c>
      <c r="B167" s="39"/>
      <c r="C167" s="39"/>
      <c r="D167" s="39" t="str">
        <f>IFERROR(__xludf.DUMMYFUNCTION("GOOGLETRANSLATE(FT!D167,""vi"",""ja"")"),"1.デジタルツール一覧画面へ
2. 「学年・教科書」ドロップダウンをクリックします。
3. レベル 2 タグを持つレベル 1 タグをクリックして選択します
4. レベル 2 タグをクリックして選択します 
5.「さがす」ボタンをクリック")</f>
        <v>1.デジタルツール一覧画面へ
2. 「学年・教科書」ドロップダウンをクリックします。
3. レベル 2 タグを持つレベル 1 タグをクリックして選択します
4. レベル 2 タグをクリックして選択します 
5.「さがす」ボタンをクリック</v>
      </c>
      <c r="E167" s="39" t="str">
        <f>IFERROR(__xludf.DUMMYFUNCTION("GOOGLETRANSLATE(FT!E167,""vi"",""ja"")"),"1. 検索結果画面へ
2. パンくずリストの学年・教科書リンクをクリックした際にチェックを入れます")</f>
        <v>1. 検索結果画面へ
2. パンくずリストの学年・教科書リンクをクリックした際にチェックを入れます</v>
      </c>
      <c r="F167" s="39" t="str">
        <f>IFERROR(__xludf.DUMMYFUNCTION("GOOGLETRANSLATE(FT!F167,""vi"",""ja"")"),"2. 結果画面を「学年・教科書」の文字のみでクリックできないパンくずリストで表示する
    リストデータは[教科書・学年]に属する全てのデジタルツールです")</f>
        <v>2. 結果画面を「学年・教科書」の文字のみでクリックできないパンくずリストで表示する
    リストデータは[教科書・学年]に属する全てのデジタルツールです</v>
      </c>
      <c r="G167" s="40" t="s">
        <v>45</v>
      </c>
      <c r="H167" s="41" t="s">
        <v>46</v>
      </c>
      <c r="I167" s="42"/>
      <c r="J167" s="41" t="s">
        <v>46</v>
      </c>
      <c r="K167" s="42"/>
      <c r="L167" s="50" t="s">
        <v>667</v>
      </c>
      <c r="M167" s="50" t="s">
        <v>667</v>
      </c>
      <c r="N167" s="50" t="s">
        <v>667</v>
      </c>
      <c r="O167" s="51"/>
    </row>
    <row r="168" ht="15.75" customHeight="1">
      <c r="A168" s="38" t="str">
        <f t="shared" si="5"/>
        <v>FT_160</v>
      </c>
      <c r="B168" s="39" t="str">
        <f>IFERROR(__xludf.DUMMYFUNCTION("GOOGLETRANSLATE(FT!B168,""vi"",""ja"")"),"タグレベル 3 でのテスト検索")</f>
        <v>タグレベル 3 でのテスト検索</v>
      </c>
      <c r="C168" s="39" t="str">
        <f>IFERROR(__xludf.DUMMYFUNCTION("GOOGLETRANSLATE(FT!C168,""vi"",""ja"")"),"タグレベル 3 でのテスト検索")</f>
        <v>タグレベル 3 でのテスト検索</v>
      </c>
      <c r="D168" s="39" t="str">
        <f>IFERROR(__xludf.DUMMYFUNCTION("GOOGLETRANSLATE(FT!D168,""vi"",""ja"")"),"1.デジタルツール一覧画面へ
2. 「学年・教科書」ドロップダウンをクリックします。
3. レベル 2 タグを持つレベル 1 タグをクリックして選択します
4. レベル 3 タグを持つレベル 2 タグをクリックして選択します
5. デジタルツールでレベル 3 タグをクリックして選択します
6.「さがす」ボタンをクリック")</f>
        <v>1.デジタルツール一覧画面へ
2. 「学年・教科書」ドロップダウンをクリックします。
3. レベル 2 タグを持つレベル 1 タグをクリックして選択します
4. レベル 3 タグを持つレベル 2 タグをクリックして選択します
5. デジタルツールでレベル 3 タグをクリックして選択します
6.「さがす」ボタンをクリック</v>
      </c>
      <c r="E168" s="39" t="str">
        <f>IFERROR(__xludf.DUMMYFUNCTION("GOOGLETRANSLATE(FT!E168,""vi"",""ja"")"),"1. 検索結果画面へ
2. パンくずリストの表示を確認する
3. 表示されたデータ一覧を確認する")</f>
        <v>1. 検索結果画面へ
2. パンくずリストの表示を確認する
3. 表示されたデータ一覧を確認する</v>
      </c>
      <c r="F168" s="39" t="str">
        <f>IFERROR(__xludf.DUMMYFUNCTION("GOOGLETRANSLATE(FT!F168,""vi"",""ja"")"),"2. 結果画面をブレッドクラムで表示：学年・教科書 &gt; [第1層タグ] &gt; [第2層タグ] &gt; [第3層タグ]   
と ： 
     学年・教科書、[第1層タグ]、[第2層タグ]はクリック可能なテキストリンクです 
      [第3層タグ]はクリックできないテキストです
3. リストデータには、タグレベル 3 に属するすべてのデジタルツールが表示されます ")</f>
        <v>2. 結果画面をブレッドクラムで表示：学年・教科書 &gt; [第1層タグ] &gt; [第2層タグ] &gt; [第3層タグ]   
と ： 
     学年・教科書、[第1層タグ]、[第2層タグ]はクリック可能なテキストリンクです 
      [第3層タグ]はクリックできないテキストです
3. リストデータには、タグレベル 3 に属するすべてのデジタルツールが表示されます </v>
      </c>
      <c r="G168" s="40" t="s">
        <v>45</v>
      </c>
      <c r="H168" s="41" t="s">
        <v>46</v>
      </c>
      <c r="I168" s="42"/>
      <c r="J168" s="41" t="s">
        <v>46</v>
      </c>
      <c r="K168" s="42"/>
      <c r="L168" s="50" t="s">
        <v>667</v>
      </c>
      <c r="M168" s="50" t="s">
        <v>667</v>
      </c>
      <c r="N168" s="50" t="s">
        <v>667</v>
      </c>
      <c r="O168" s="51"/>
    </row>
    <row r="169" ht="15.75" customHeight="1">
      <c r="A169" s="38" t="str">
        <f t="shared" si="5"/>
        <v>FT_161</v>
      </c>
      <c r="B169" s="39"/>
      <c r="C169" s="39"/>
      <c r="D169" s="39" t="str">
        <f>IFERROR(__xludf.DUMMYFUNCTION("GOOGLETRANSLATE(FT!D169,""vi"",""ja"")"),"1.デジタルツール一覧画面へ
2. 「学年・教科書」ドロップダウンをクリックします。
3. レベル 2 タグを持つレベル 1 タグをクリックして選択します
4. レベル 3 タグを持つレベル 2 タグをクリックして選択します
5. クリックしてデジタルツールなしのレベル 3 タグを選択します
6.「さがす」ボタンをクリック")</f>
        <v>1.デジタルツール一覧画面へ
2. 「学年・教科書」ドロップダウンをクリックします。
3. レベル 2 タグを持つレベル 1 タグをクリックして選択します
4. レベル 3 タグを持つレベル 2 タグをクリックして選択します
5. クリックしてデジタルツールなしのレベル 3 タグを選択します
6.「さがす」ボタンをクリック</v>
      </c>
      <c r="E169" s="39" t="str">
        <f>IFERROR(__xludf.DUMMYFUNCTION("GOOGLETRANSLATE(FT!E169,""vi"",""ja"")"),"1. 検索結果画面へ
2. パンくずリストの表示を確認する
3. 表示されたデータ一覧を確認する")</f>
        <v>1. 検索結果画面へ
2. パンくずリストの表示を確認する
3. 表示されたデータ一覧を確認する</v>
      </c>
      <c r="F169" s="39" t="str">
        <f>IFERROR(__xludf.DUMMYFUNCTION("GOOGLETRANSLATE(FT!F169,""vi"",""ja"")"),"2. 結果画面をブレッドクラムで表示：学年・教科書 &gt; [第1層タグ] &gt; [第2層タグ] &gt; [第3層タグ]   
と ： 
     学年・教科書、[第1層タグ]、[第2層タグ]はクリック可能なテキストリンクです 
      [第3層タグ]はクリックできないテキストです
3. リストデータが空です")</f>
        <v>2. 結果画面をブレッドクラムで表示：学年・教科書 &gt; [第1層タグ] &gt; [第2層タグ] &gt; [第3層タグ]   
と ： 
     学年・教科書、[第1層タグ]、[第2層タグ]はクリック可能なテキストリンクです 
      [第3層タグ]はクリックできないテキストです
3. リストデータが空です</v>
      </c>
      <c r="G169" s="40" t="s">
        <v>45</v>
      </c>
      <c r="H169" s="41" t="s">
        <v>46</v>
      </c>
      <c r="I169" s="42"/>
      <c r="J169" s="41" t="s">
        <v>46</v>
      </c>
      <c r="K169" s="42"/>
      <c r="L169" s="50" t="s">
        <v>667</v>
      </c>
      <c r="M169" s="50" t="s">
        <v>667</v>
      </c>
      <c r="N169" s="50" t="s">
        <v>667</v>
      </c>
      <c r="O169" s="51"/>
    </row>
    <row r="170" ht="15.75" customHeight="1">
      <c r="A170" s="38" t="str">
        <f t="shared" si="5"/>
        <v>FT_162</v>
      </c>
      <c r="B170" s="39"/>
      <c r="C170" s="39" t="str">
        <f>IFERROR(__xludf.DUMMYFUNCTION("GOOGLETRANSLATE(FT!C170,""vi"",""ja"")"),"パンくずリストの表示を確認する")</f>
        <v>パンくずリストの表示を確認する</v>
      </c>
      <c r="D170" s="39" t="str">
        <f>IFERROR(__xludf.DUMMYFUNCTION("GOOGLETRANSLATE(FT!D170,""vi"",""ja"")"),"1.デジタルツール一覧画面へ
2. 「学年・教科書」ドロップダウンをクリックします。
3. レベル 2 タグを持つレベル 1 タグをクリックして選択します
4. レベル 3 タグを持つレベル 2 タグをクリックして選択します
5. 名前が 10 文字以下のレベル 3 タグをクリックして選択します
6.「さがす」ボタンをクリック")</f>
        <v>1.デジタルツール一覧画面へ
2. 「学年・教科書」ドロップダウンをクリックします。
3. レベル 2 タグを持つレベル 1 タグをクリックして選択します
4. レベル 3 タグを持つレベル 2 タグをクリックして選択します
5. 名前が 10 文字以下のレベル 3 タグをクリックして選択します
6.「さがす」ボタンをクリック</v>
      </c>
      <c r="E170" s="39" t="str">
        <f>IFERROR(__xludf.DUMMYFUNCTION("GOOGLETRANSLATE(FT!E170,""vi"",""ja"")"),"1. 検索結果画面へ
2. パンくずリストの表示を確認する")</f>
        <v>1. 検索結果画面へ
2. パンくずリストの表示を確認する</v>
      </c>
      <c r="F170" s="39" t="str">
        <f>IFERROR(__xludf.DUMMYFUNCTION("GOOGLETRANSLATE(FT!F170,""vi"",""ja"")"),"2. レベル 3 のタグ名が完全に表示されます")</f>
        <v>2. レベル 3 のタグ名が完全に表示されます</v>
      </c>
      <c r="G170" s="40" t="s">
        <v>45</v>
      </c>
      <c r="H170" s="41" t="s">
        <v>46</v>
      </c>
      <c r="I170" s="42"/>
      <c r="J170" s="41" t="s">
        <v>46</v>
      </c>
      <c r="K170" s="42"/>
      <c r="L170" s="50" t="s">
        <v>667</v>
      </c>
      <c r="M170" s="50" t="s">
        <v>667</v>
      </c>
      <c r="N170" s="50" t="s">
        <v>667</v>
      </c>
      <c r="O170" s="51"/>
    </row>
    <row r="171" ht="15.75" customHeight="1">
      <c r="A171" s="38" t="str">
        <f t="shared" si="5"/>
        <v>FT_163</v>
      </c>
      <c r="B171" s="39"/>
      <c r="C171" s="39"/>
      <c r="D171" s="39" t="str">
        <f>IFERROR(__xludf.DUMMYFUNCTION("GOOGLETRANSLATE(FT!D171,""vi"",""ja"")"),"1.デジタルツール一覧画面へ
2. 「学年・教科書」ドロップダウンをクリックします。
3. レベル 2 タグを持つレベル 1 タグをクリックして選択します
4. レベル 3 タグを持つレベル 2 タグをクリックして選択します
5. 名前が 10 文字を超えるレベル 3 タグをクリックして選択します
6.「さがす」ボタンをクリック")</f>
        <v>1.デジタルツール一覧画面へ
2. 「学年・教科書」ドロップダウンをクリックします。
3. レベル 2 タグを持つレベル 1 タグをクリックして選択します
4. レベル 3 タグを持つレベル 2 タグをクリックして選択します
5. 名前が 10 文字を超えるレベル 3 タグをクリックして選択します
6.「さがす」ボタンをクリック</v>
      </c>
      <c r="E171" s="39" t="str">
        <f>IFERROR(__xludf.DUMMYFUNCTION("GOOGLETRANSLATE(FT!E171,""vi"",""ja"")"),"1. 検索結果画面へ
2. パンくずリストの表示を確認する")</f>
        <v>1. 検索結果画面へ
2. パンくずリストの表示を確認する</v>
      </c>
      <c r="F171" s="39" t="str">
        <f>IFERROR(__xludf.DUMMYFUNCTION("GOOGLETRANSLATE(FT!F171,""vi"",""ja"")"),"2. レベル 3 のタグ名は 10 文字表示され、11 文字目以降が切り捨てられます。")</f>
        <v>2. レベル 3 のタグ名は 10 文字表示され、11 文字目以降が切り捨てられます。</v>
      </c>
      <c r="G171" s="40" t="s">
        <v>45</v>
      </c>
      <c r="H171" s="41" t="s">
        <v>46</v>
      </c>
      <c r="I171" s="42"/>
      <c r="J171" s="41" t="s">
        <v>46</v>
      </c>
      <c r="K171" s="42"/>
      <c r="L171" s="50" t="s">
        <v>667</v>
      </c>
      <c r="M171" s="50" t="s">
        <v>667</v>
      </c>
      <c r="N171" s="50" t="s">
        <v>667</v>
      </c>
      <c r="O171" s="51"/>
    </row>
    <row r="172" ht="15.75" customHeight="1">
      <c r="A172" s="38" t="str">
        <f t="shared" si="5"/>
        <v>FT_164</v>
      </c>
      <c r="B172" s="39"/>
      <c r="C172" s="39" t="str">
        <f>IFERROR(__xludf.DUMMYFUNCTION("GOOGLETRANSLATE(FT!C172,""vi"",""ja"")"),"パンくずリストをクリックして確認してください")</f>
        <v>パンくずリストをクリックして確認してください</v>
      </c>
      <c r="D172" s="39" t="str">
        <f>IFERROR(__xludf.DUMMYFUNCTION("GOOGLETRANSLATE(FT!D172,""vi"",""ja"")"),"1.デジタルツール一覧画面へ
2. 「学年・教科書」ドロップダウンをクリックします。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f>
        <v>1.デジタルツール一覧画面へ
2. 「学年・教科書」ドロップダウンをクリックします。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v>
      </c>
      <c r="E172" s="39" t="str">
        <f>IFERROR(__xludf.DUMMYFUNCTION("GOOGLETRANSLATE(FT!E172,""vi"",""ja"")"),"1. 検索結果画面へ
2. パンくずリストのリンク「第2層タグ」をクリックすることを確認します。")</f>
        <v>1. 検索結果画面へ
2. パンくずリストのリンク「第2層タグ」をクリックすることを確認します。</v>
      </c>
      <c r="F172" s="39" t="str">
        <f>IFERROR(__xludf.DUMMYFUNCTION("GOOGLETRANSLATE(FT!F172,""vi"",""ja"")"),"2. 結果画面をブレッドクラムで表示：学年・教科書 &gt; [第1層タグ] &gt; [第2層タグ] 
と ： 
     学年・教科書、[第1層タグ]はクリック可能なテキストリンクです 
      [第2層タグ]はクリックできないテキストです
- リストデータはタグレベル2に属するすべてのデジタルツールです")</f>
        <v>2. 結果画面をブレッドクラムで表示：学年・教科書 &gt; [第1層タグ] &gt; [第2層タグ] 
と ： 
     学年・教科書、[第1層タグ]はクリック可能なテキストリンクです 
      [第2層タグ]はクリックできないテキストです
- リストデータはタグレベル2に属するすべてのデジタルツールです</v>
      </c>
      <c r="G172" s="40" t="s">
        <v>45</v>
      </c>
      <c r="H172" s="41" t="s">
        <v>46</v>
      </c>
      <c r="I172" s="42"/>
      <c r="J172" s="41" t="s">
        <v>46</v>
      </c>
      <c r="K172" s="42"/>
      <c r="L172" s="50" t="s">
        <v>667</v>
      </c>
      <c r="M172" s="50" t="s">
        <v>667</v>
      </c>
      <c r="N172" s="50" t="s">
        <v>667</v>
      </c>
      <c r="O172" s="51"/>
    </row>
    <row r="173" ht="15.75" customHeight="1">
      <c r="A173" s="38" t="str">
        <f t="shared" si="5"/>
        <v>FT_165</v>
      </c>
      <c r="B173" s="39"/>
      <c r="C173" s="39"/>
      <c r="D173" s="39" t="str">
        <f>IFERROR(__xludf.DUMMYFUNCTION("GOOGLETRANSLATE(FT!D173,""vi"",""ja"")"),"1.デジタルツール一覧画面へ
2. 「学年・教科書」ドロップダウンをクリックします。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f>
        <v>1.デジタルツール一覧画面へ
2. 「学年・教科書」ドロップダウンをクリックします。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v>
      </c>
      <c r="E173" s="39" t="str">
        <f>IFERROR(__xludf.DUMMYFUNCTION("GOOGLETRANSLATE(FT!E173,""vi"",""ja"")"),"1. 検索結果画面へ
2. パンくずリストのリンク「第1層タグ」をクリックすることを確認します。")</f>
        <v>1. 検索結果画面へ
2. パンくずリストのリンク「第1層タグ」をクリックすることを確認します。</v>
      </c>
      <c r="F173" s="39" t="str">
        <f>IFERROR(__xludf.DUMMYFUNCTION("GOOGLETRANSLATE(FT!F173,""vi"",""ja"")"),"2. 結果画面をパンくずリストで表示：学年・教科書 &gt; [第1層タグ]  
と ： 
     学年・教科書はクリック可能なテキストリンクです 
      [第1層タグ]はクリックできないテキストです    
- リストデータはタグレベル1に属するすべてのデジタルツールです")</f>
        <v>2. 結果画面をパンくずリストで表示：学年・教科書 &gt; [第1層タグ]  
と ： 
     学年・教科書はクリック可能なテキストリンクです 
      [第1層タグ]はクリックできないテキストです    
- リストデータはタグレベル1に属するすべてのデジタルツールです</v>
      </c>
      <c r="G173" s="40" t="s">
        <v>45</v>
      </c>
      <c r="H173" s="41" t="s">
        <v>46</v>
      </c>
      <c r="I173" s="42"/>
      <c r="J173" s="41" t="s">
        <v>46</v>
      </c>
      <c r="K173" s="42"/>
      <c r="L173" s="50" t="s">
        <v>667</v>
      </c>
      <c r="M173" s="50" t="s">
        <v>667</v>
      </c>
      <c r="N173" s="50" t="s">
        <v>667</v>
      </c>
      <c r="O173" s="51"/>
    </row>
    <row r="174" ht="15.75" customHeight="1">
      <c r="A174" s="38" t="str">
        <f t="shared" si="5"/>
        <v>FT_166</v>
      </c>
      <c r="B174" s="39"/>
      <c r="C174" s="39"/>
      <c r="D174" s="39" t="str">
        <f>IFERROR(__xludf.DUMMYFUNCTION("GOOGLETRANSLATE(FT!D174,""vi"",""ja"")"),"1.デジタルツール一覧画面へ
2. 「学年・教科書」ドロップダウンをクリックします。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f>
        <v>1.デジタルツール一覧画面へ
2. 「学年・教科書」ドロップダウンをクリックします。
3. レベル 2 タグを持つレベル 1 タグをクリックして選択します
4. レベル 3 タグを持つレベル 2 タグをクリックして選択します
5. クリックしてレベル 3 タグを選択します 
6.「さがす」ボタンをクリック</v>
      </c>
      <c r="E174" s="39" t="str">
        <f>IFERROR(__xludf.DUMMYFUNCTION("GOOGLETRANSLATE(FT!E174,""vi"",""ja"")"),"1. 検索結果画面へ
2. ブレッドクラムの「学年・教科書」リンクをクリックするためにチェックを入れます")</f>
        <v>1. 検索結果画面へ
2. ブレッドクラムの「学年・教科書」リンクをクリックするためにチェックを入れます</v>
      </c>
      <c r="F174" s="39" t="str">
        <f>IFERROR(__xludf.DUMMYFUNCTION("GOOGLETRANSLATE(FT!F174,""vi"",""ja"")"),"2. 結果画面を「学年・教科書」の文字のみでクリックできないパンくずリストで表示する
    リストデータは[教科書・学年]に属する全てのデジタルツールです")</f>
        <v>2. 結果画面を「学年・教科書」の文字のみでクリックできないパンくずリストで表示する
    リストデータは[教科書・学年]に属する全てのデジタルツールです</v>
      </c>
      <c r="G174" s="40" t="s">
        <v>45</v>
      </c>
      <c r="H174" s="41" t="s">
        <v>46</v>
      </c>
      <c r="I174" s="42"/>
      <c r="J174" s="41" t="s">
        <v>46</v>
      </c>
      <c r="K174" s="42"/>
      <c r="L174" s="50" t="s">
        <v>667</v>
      </c>
      <c r="M174" s="50" t="s">
        <v>667</v>
      </c>
      <c r="N174" s="50" t="s">
        <v>667</v>
      </c>
      <c r="O174" s="51"/>
    </row>
    <row r="175" ht="15.75" customHeight="1">
      <c r="A175" s="38" t="str">
        <f t="shared" si="5"/>
        <v>FT_167</v>
      </c>
      <c r="B175" s="39" t="str">
        <f>IFERROR(__xludf.DUMMYFUNCTION("GOOGLETRANSLATE(FT!B175,""vi"",""ja"")"),"タグレベル 4 でのテスト検索")</f>
        <v>タグレベル 4 でのテスト検索</v>
      </c>
      <c r="C175" s="39" t="str">
        <f>IFERROR(__xludf.DUMMYFUNCTION("GOOGLETRANSLATE(FT!C175,""vi"",""ja"")"),"タグレベル 4 でのテスト検索")</f>
        <v>タグレベル 4 でのテスト検索</v>
      </c>
      <c r="D175" s="39" t="str">
        <f>IFERROR(__xludf.DUMMYFUNCTION("GOOGLETRANSLATE(FT!D175,""vi"",""ja"")"),"1.デジタルツール一覧画面へ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デジタルツールでレベル 4 タグをクリックして選択します
7.「さがす」ボタンをクリックします")</f>
        <v>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デジタルツールでレベル 4 タグをクリックして選択します
7.「さがす」ボタンをクリックします</v>
      </c>
      <c r="E175" s="39" t="str">
        <f>IFERROR(__xludf.DUMMYFUNCTION("GOOGLETRANSLATE(FT!E175,""vi"",""ja"")"),"1. 検索結果画面へ
2. パンくずリストの表示を確認する
3. 表示されたデータ一覧を確認する")</f>
        <v>1. 検索結果画面へ
2. パンくずリストの表示を確認する
3. 表示されたデータ一覧を確認する</v>
      </c>
      <c r="F175" s="39" t="str">
        <f>IFERROR(__xludf.DUMMYFUNCTION("GOOGLETRANSLATE(FT!F175,""vi"",""ja"")"),"2. 結果画面をブレッドクラムで表示: 学年・教科書 &gt; [第1層タグ] &gt; [第2層タグ] &gt; [第3層タグ] &gt; [第4層タグ]   
と ： 
     学年・教科書、[第1層タグ]、[第2層タグ]、[第3タグ層]はクリック可能なテキストリンクです 
      [第4層タグ]はクリックできないテキストです
3. リストデータには、タグレベル 4 に属するすべてのデジタルツールが表示されます ")</f>
        <v>2. 結果画面をブレッドクラムで表示: 学年・教科書 &gt; [第1層タグ] &gt; [第2層タグ] &gt; [第3層タグ] &gt; [第4層タグ]   
と ： 
     学年・教科書、[第1層タグ]、[第2層タグ]、[第3タグ層]はクリック可能なテキストリンクです 
      [第4層タグ]はクリックできないテキストです
3. リストデータには、タグレベル 4 に属するすべてのデジタルツールが表示されます </v>
      </c>
      <c r="G175" s="40" t="s">
        <v>45</v>
      </c>
      <c r="H175" s="41" t="s">
        <v>46</v>
      </c>
      <c r="I175" s="42"/>
      <c r="J175" s="41" t="s">
        <v>46</v>
      </c>
      <c r="K175" s="42"/>
      <c r="L175" s="50" t="s">
        <v>667</v>
      </c>
      <c r="M175" s="50" t="s">
        <v>667</v>
      </c>
      <c r="N175" s="50" t="s">
        <v>667</v>
      </c>
      <c r="O175" s="51"/>
    </row>
    <row r="176" ht="15.75" customHeight="1">
      <c r="A176" s="38" t="str">
        <f t="shared" si="5"/>
        <v>FT_168</v>
      </c>
      <c r="B176" s="39"/>
      <c r="C176" s="39"/>
      <c r="D176" s="39" t="str">
        <f>IFERROR(__xludf.DUMMYFUNCTION("GOOGLETRANSLATE(FT!D176,""vi"",""ja"")"),"1.デジタルツール一覧画面へ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デジタルツールでレベル 4 タグをクリックして選択します
7.「さがす」ボタンをクリックします")</f>
        <v>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デジタルツールでレベル 4 タグをクリックして選択します
7.「さがす」ボタンをクリックします</v>
      </c>
      <c r="E176" s="39" t="str">
        <f>IFERROR(__xludf.DUMMYFUNCTION("GOOGLETRANSLATE(FT!E176,""vi"",""ja"")"),"1. 検索結果画面へ
2. パンくずリストの表示を確認する
3. 表示されたデータ一覧を確認する")</f>
        <v>1. 検索結果画面へ
2. パンくずリストの表示を確認する
3. 表示されたデータ一覧を確認する</v>
      </c>
      <c r="F176" s="39" t="str">
        <f>IFERROR(__xludf.DUMMYFUNCTION("GOOGLETRANSLATE(FT!F176,""vi"",""ja"")"),"2. 結果画面をブレッドクラムで表示: 学年・教科書 &gt; [第1層タグ] &gt; [第2層タグ] &gt; [第3層タグ] &gt; [第4層タグ]   
と ： 
     学年・教科書、[第1層タグ]、[第2層タグ]、[第3タグ層]はクリック可能なテキストリンクです 
      [第4層タグ]はクリックできないテキストです
3. リストデータが空です")</f>
        <v>2. 結果画面をブレッドクラムで表示: 学年・教科書 &gt; [第1層タグ] &gt; [第2層タグ] &gt; [第3層タグ] &gt; [第4層タグ]   
と ： 
     学年・教科書、[第1層タグ]、[第2層タグ]、[第3タグ層]はクリック可能なテキストリンクです 
      [第4層タグ]はクリックできないテキストです
3. リストデータが空です</v>
      </c>
      <c r="G176" s="40" t="s">
        <v>45</v>
      </c>
      <c r="H176" s="41" t="s">
        <v>46</v>
      </c>
      <c r="I176" s="42"/>
      <c r="J176" s="41" t="s">
        <v>46</v>
      </c>
      <c r="K176" s="42"/>
      <c r="L176" s="50" t="s">
        <v>667</v>
      </c>
      <c r="M176" s="50" t="s">
        <v>667</v>
      </c>
      <c r="N176" s="50" t="s">
        <v>667</v>
      </c>
      <c r="O176" s="51"/>
    </row>
    <row r="177" ht="15.75" customHeight="1">
      <c r="A177" s="38" t="str">
        <f t="shared" si="5"/>
        <v>FT_169</v>
      </c>
      <c r="B177" s="39"/>
      <c r="C177" s="39" t="str">
        <f>IFERROR(__xludf.DUMMYFUNCTION("GOOGLETRANSLATE(FT!C177,""vi"",""ja"")"),"パンくずリストの表示を確認する")</f>
        <v>パンくずリストの表示を確認する</v>
      </c>
      <c r="D177" s="39" t="str">
        <f>IFERROR(__xludf.DUMMYFUNCTION("GOOGLETRANSLATE(FT!D177,""vi"",""ja"")"),"1.デジタルツール一覧画面へ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名前が 10 文字以下のレベル 4 タグをクリックして選択します
7.「さがす」ボタンをクリックします")</f>
        <v>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名前が 10 文字以下のレベル 4 タグをクリックして選択します
7.「さがす」ボタンをクリックします</v>
      </c>
      <c r="E177" s="39" t="str">
        <f>IFERROR(__xludf.DUMMYFUNCTION("GOOGLETRANSLATE(FT!E177,""vi"",""ja"")"),"1. 検索結果画面へ
2. パンくずリストの表示を確認する")</f>
        <v>1. 検索結果画面へ
2. パンくずリストの表示を確認する</v>
      </c>
      <c r="F177" s="39" t="str">
        <f>IFERROR(__xludf.DUMMYFUNCTION("GOOGLETRANSLATE(FT!F177,""vi"",""ja"")"),"2. レベル 4 のタグ名が完全に表示されます")</f>
        <v>2. レベル 4 のタグ名が完全に表示されます</v>
      </c>
      <c r="G177" s="40" t="s">
        <v>45</v>
      </c>
      <c r="H177" s="41" t="s">
        <v>46</v>
      </c>
      <c r="I177" s="42"/>
      <c r="J177" s="41" t="s">
        <v>46</v>
      </c>
      <c r="K177" s="42"/>
      <c r="L177" s="50" t="s">
        <v>667</v>
      </c>
      <c r="M177" s="50" t="s">
        <v>667</v>
      </c>
      <c r="N177" s="50" t="s">
        <v>667</v>
      </c>
      <c r="O177" s="51"/>
    </row>
    <row r="178" ht="15.75" customHeight="1">
      <c r="A178" s="38" t="str">
        <f t="shared" si="5"/>
        <v>FT_170</v>
      </c>
      <c r="B178" s="39"/>
      <c r="C178" s="39"/>
      <c r="D178" s="39" t="str">
        <f>IFERROR(__xludf.DUMMYFUNCTION("GOOGLETRANSLATE(FT!D178,""vi"",""ja"")"),"1.デジタルツール一覧画面へ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名前が 10 文字を超えるレベル 4 タグをクリックして選択します
7.「さがす」ボタンをクリックします")</f>
        <v>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名前が 10 文字を超えるレベル 4 タグをクリックして選択します
7.「さがす」ボタンをクリックします</v>
      </c>
      <c r="E178" s="39" t="str">
        <f>IFERROR(__xludf.DUMMYFUNCTION("GOOGLETRANSLATE(FT!E178,""vi"",""ja"")"),"1. 検索結果画面へ
2. パンくずリストの表示を確認する")</f>
        <v>1. 検索結果画面へ
2. パンくずリストの表示を確認する</v>
      </c>
      <c r="F178" s="39" t="str">
        <f>IFERROR(__xludf.DUMMYFUNCTION("GOOGLETRANSLATE(FT!F178,""vi"",""ja"")"),"2. レベル4タグ名は10文字表示、11文字目以降は切り捨て")</f>
        <v>2. レベル4タグ名は10文字表示、11文字目以降は切り捨て</v>
      </c>
      <c r="G178" s="40" t="s">
        <v>45</v>
      </c>
      <c r="H178" s="41" t="s">
        <v>46</v>
      </c>
      <c r="I178" s="42"/>
      <c r="J178" s="41" t="s">
        <v>46</v>
      </c>
      <c r="K178" s="42"/>
      <c r="L178" s="50" t="s">
        <v>667</v>
      </c>
      <c r="M178" s="50" t="s">
        <v>667</v>
      </c>
      <c r="N178" s="50" t="s">
        <v>667</v>
      </c>
      <c r="O178" s="51"/>
    </row>
    <row r="179" ht="15.75" customHeight="1">
      <c r="A179" s="38" t="str">
        <f t="shared" si="5"/>
        <v>FT_171</v>
      </c>
      <c r="B179" s="39"/>
      <c r="C179" s="39" t="str">
        <f>IFERROR(__xludf.DUMMYFUNCTION("GOOGLETRANSLATE(FT!C179,""vi"",""ja"")"),"パンくずリストをクリックして確認してください")</f>
        <v>パンくずリストをクリックして確認してください</v>
      </c>
      <c r="D179" s="39" t="str">
        <f>IFERROR(__xludf.DUMMYFUNCTION("GOOGLETRANSLATE(FT!D179,""vi"",""ja"")"),"1.デジタルツール一覧画面へ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f>
        <v>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v>
      </c>
      <c r="E179" s="39" t="str">
        <f>IFERROR(__xludf.DUMMYFUNCTION("GOOGLETRANSLATE(FT!E179,""vi"",""ja"")"),"1. 検索結果画面へ
2. パンくずリストのリンク「第3層タグ」をクリックすることを確認します。")</f>
        <v>1. 検索結果画面へ
2. パンくずリストのリンク「第3層タグ」をクリックすることを確認します。</v>
      </c>
      <c r="F179" s="39" t="str">
        <f>IFERROR(__xludf.DUMMYFUNCTION("GOOGLETRANSLATE(FT!F179,""vi"",""ja"")"),"2. 結果画面をブレッドクラムで表示：学年・教科書 &gt; [第1層タグ] &gt; [第2層タグ] &gt; [第3層タグ] 
と： 
     学年・教科書、[第1層タグ]、[第2層タグ]はクリック可能なテキストリンクです
     [第3層タグ]をクリックできない
- リストデータはタグレベル3に属するすべてのデジタルツールです")</f>
        <v>2. 結果画面をブレッドクラムで表示：学年・教科書 &gt; [第1層タグ] &gt; [第2層タグ] &gt; [第3層タグ] 
と： 
     学年・教科書、[第1層タグ]、[第2層タグ]はクリック可能なテキストリンクです
     [第3層タグ]をクリックできない
- リストデータはタグレベル3に属するすべてのデジタルツールです</v>
      </c>
      <c r="G179" s="40" t="s">
        <v>45</v>
      </c>
      <c r="H179" s="41" t="s">
        <v>46</v>
      </c>
      <c r="I179" s="42"/>
      <c r="J179" s="41" t="s">
        <v>46</v>
      </c>
      <c r="K179" s="42"/>
      <c r="L179" s="50" t="s">
        <v>667</v>
      </c>
      <c r="M179" s="50" t="s">
        <v>667</v>
      </c>
      <c r="N179" s="50" t="s">
        <v>667</v>
      </c>
      <c r="O179" s="51"/>
    </row>
    <row r="180" ht="15.75" customHeight="1">
      <c r="A180" s="38" t="str">
        <f t="shared" si="5"/>
        <v>FT_172</v>
      </c>
      <c r="B180" s="39"/>
      <c r="C180" s="39"/>
      <c r="D180" s="39" t="str">
        <f>IFERROR(__xludf.DUMMYFUNCTION("GOOGLETRANSLATE(FT!D180,""vi"",""ja"")"),"1.デジタルツール一覧画面へ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f>
        <v>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v>
      </c>
      <c r="E180" s="39" t="str">
        <f>IFERROR(__xludf.DUMMYFUNCTION("GOOGLETRANSLATE(FT!E180,""vi"",""ja"")"),"1. 検索結果画面へ
2. パンくずリストのリンク「第2層タグ」をクリックすることを確認します。")</f>
        <v>1. 検索結果画面へ
2. パンくずリストのリンク「第2層タグ」をクリックすることを確認します。</v>
      </c>
      <c r="F180" s="39" t="str">
        <f>IFERROR(__xludf.DUMMYFUNCTION("GOOGLETRANSLATE(FT!F180,""vi"",""ja"")"),"2. 結果画面をブレッドクラムで表示：学年・教科書 &gt; [第1層タグ] &gt; [第2層タグ] 
と： 
     学年・教科書、[第1層タグ]はクリック可能なテキストリンクです
     [第2層タグ]をクリックできない    
- リストデータはタグレベル2に属するすべてのデジタルツールです")</f>
        <v>2. 結果画面をブレッドクラムで表示：学年・教科書 &gt; [第1層タグ] &gt; [第2層タグ] 
と： 
     学年・教科書、[第1層タグ]はクリック可能なテキストリンクです
     [第2層タグ]をクリックできない    
- リストデータはタグレベル2に属するすべてのデジタルツールです</v>
      </c>
      <c r="G180" s="40" t="s">
        <v>45</v>
      </c>
      <c r="H180" s="41" t="s">
        <v>46</v>
      </c>
      <c r="I180" s="42"/>
      <c r="J180" s="41" t="s">
        <v>46</v>
      </c>
      <c r="K180" s="42"/>
      <c r="L180" s="50" t="s">
        <v>667</v>
      </c>
      <c r="M180" s="50" t="s">
        <v>667</v>
      </c>
      <c r="N180" s="50" t="s">
        <v>667</v>
      </c>
      <c r="O180" s="51"/>
    </row>
    <row r="181" ht="15.75" customHeight="1">
      <c r="A181" s="38" t="str">
        <f t="shared" si="5"/>
        <v>FT_173</v>
      </c>
      <c r="B181" s="39"/>
      <c r="C181" s="39"/>
      <c r="D181" s="39" t="str">
        <f>IFERROR(__xludf.DUMMYFUNCTION("GOOGLETRANSLATE(FT!D181,""vi"",""ja"")"),"1.デジタルツール一覧画面へ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f>
        <v>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v>
      </c>
      <c r="E181" s="39" t="str">
        <f>IFERROR(__xludf.DUMMYFUNCTION("GOOGLETRANSLATE(FT!E181,""vi"",""ja"")"),"1. 検索結果画面へ
2. パンくずリストのリンク「第1層タグ」をクリックすることを確認します。")</f>
        <v>1. 検索結果画面へ
2. パンくずリストのリンク「第1層タグ」をクリックすることを確認します。</v>
      </c>
      <c r="F181" s="39" t="str">
        <f>IFERROR(__xludf.DUMMYFUNCTION("GOOGLETRANSLATE(FT!F181,""vi"",""ja"")"),"2. 結果画面をパンくずリストで表示：学年・教科書 &gt; [第1層タグ]  
と： 
     学年・教科書はクリック可能なテキストリンクです
     [第1層タグ]をクリックできない       
- リストデータはタグレベル1に属するすべてのデジタルツールです")</f>
        <v>2. 結果画面をパンくずリストで表示：学年・教科書 &gt; [第1層タグ]  
と： 
     学年・教科書はクリック可能なテキストリンクです
     [第1層タグ]をクリックできない       
- リストデータはタグレベル1に属するすべてのデジタルツールです</v>
      </c>
      <c r="G181" s="40" t="s">
        <v>45</v>
      </c>
      <c r="H181" s="41" t="s">
        <v>46</v>
      </c>
      <c r="I181" s="42"/>
      <c r="J181" s="41" t="s">
        <v>46</v>
      </c>
      <c r="K181" s="42"/>
      <c r="L181" s="50" t="s">
        <v>667</v>
      </c>
      <c r="M181" s="50" t="s">
        <v>667</v>
      </c>
      <c r="N181" s="50" t="s">
        <v>667</v>
      </c>
      <c r="O181" s="51"/>
    </row>
    <row r="182" ht="15.75" customHeight="1">
      <c r="A182" s="38" t="str">
        <f t="shared" si="5"/>
        <v>FT_174</v>
      </c>
      <c r="B182" s="39"/>
      <c r="C182" s="39"/>
      <c r="D182" s="39" t="str">
        <f>IFERROR(__xludf.DUMMYFUNCTION("GOOGLETRANSLATE(FT!D182,""vi"",""ja"")"),"1.デジタルツール一覧画面へ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f>
        <v>1.デジタルツール一覧画面へ
2. 「学年・教科書」ドロップダウンをクリックします。
3. レベル 2 タグを持つレベル 1 タグをクリックして選択します
4. レベル 3 タグを持つレベル 2 タグをクリックして選択します
5. レベル 4 タグを持つレベル 3 タグをクリックして選択します
6. クリックしてレベル 4 タグを選択します
7.「さがす」ボタンをクリックします</v>
      </c>
      <c r="E182" s="39" t="str">
        <f>IFERROR(__xludf.DUMMYFUNCTION("GOOGLETRANSLATE(FT!E182,""vi"",""ja"")"),"1. 検索結果画面へ
2. ブレッドクラムの「学年・教科書」リンクをクリックするためにチェックを入れます")</f>
        <v>1. 検索結果画面へ
2. ブレッドクラムの「学年・教科書」リンクをクリックするためにチェックを入れます</v>
      </c>
      <c r="F182" s="39" t="str">
        <f>IFERROR(__xludf.DUMMYFUNCTION("GOOGLETRANSLATE(FT!F182,""vi"",""ja"")"),"2. 結果画面を「学年・教科書」の文字のみでクリックできないパンくずリストで表示する
    リストデータは[教科書・学年]に属する全てのデジタルツールです")</f>
        <v>2. 結果画面を「学年・教科書」の文字のみでクリックできないパンくずリストで表示する
    リストデータは[教科書・学年]に属する全てのデジタルツールです</v>
      </c>
      <c r="G182" s="40" t="s">
        <v>45</v>
      </c>
      <c r="H182" s="41" t="s">
        <v>46</v>
      </c>
      <c r="I182" s="42"/>
      <c r="J182" s="41" t="s">
        <v>46</v>
      </c>
      <c r="K182" s="42"/>
      <c r="L182" s="50" t="s">
        <v>667</v>
      </c>
      <c r="M182" s="50" t="s">
        <v>667</v>
      </c>
      <c r="N182" s="50" t="s">
        <v>667</v>
      </c>
      <c r="O182" s="51"/>
    </row>
    <row r="183" ht="15.75" customHeight="1">
      <c r="A183" s="38" t="str">
        <f t="shared" si="5"/>
        <v>FT_175</v>
      </c>
      <c r="B183" s="39" t="str">
        <f>IFERROR(__xludf.DUMMYFUNCTION("GOOGLETRANSLATE(FT!B183,""vi"",""ja"")"),"検索結果画面で一覧データを確認する")</f>
        <v>検索結果画面で一覧データを確認する</v>
      </c>
      <c r="C183" s="39" t="str">
        <f>IFERROR(__xludf.DUMMYFUNCTION("GOOGLETRANSLATE(FT!C183,""vi"",""ja"")"),"ケース FT_22 から FT_45 をチェックしてください")</f>
        <v>ケース FT_22 から FT_45 をチェックしてください</v>
      </c>
      <c r="D183" s="39"/>
      <c r="E183" s="39" t="str">
        <f>IFERROR(__xludf.DUMMYFUNCTION("GOOGLETRANSLATE(FT!E183,""vi"",""ja"")"),"1. 検索結果画面へ
2.FT_22からFT_45まで同様に確認します。")</f>
        <v>1. 検索結果画面へ
2.FT_22からFT_45まで同様に確認します。</v>
      </c>
      <c r="F183" s="39" t="str">
        <f>IFERROR(__xludf.DUMMYFUNCTION("GOOGLETRANSLATE(FT!F183,""vi"",""ja"")"),"2. すべてのテスト ケースの結果が合格する")</f>
        <v>2. すべてのテスト ケースの結果が合格する</v>
      </c>
      <c r="G183" s="40" t="s">
        <v>45</v>
      </c>
      <c r="H183" s="41" t="s">
        <v>46</v>
      </c>
      <c r="I183" s="42"/>
      <c r="J183" s="41" t="s">
        <v>46</v>
      </c>
      <c r="K183" s="42"/>
      <c r="L183" s="50" t="s">
        <v>667</v>
      </c>
      <c r="M183" s="50" t="s">
        <v>667</v>
      </c>
      <c r="N183" s="50" t="s">
        <v>667</v>
      </c>
      <c r="O183" s="51"/>
    </row>
    <row r="184" ht="30.75" customHeight="1">
      <c r="A184" s="38" t="str">
        <f t="shared" si="5"/>
        <v>FT_176</v>
      </c>
      <c r="B184" s="39" t="str">
        <f>IFERROR(__xludf.DUMMYFUNCTION("GOOGLETRANSLATE(FT!B184,""vi"",""ja"")"),"検索後に別のアクションを確認してください")</f>
        <v>検索後に別のアクションを確認してください</v>
      </c>
      <c r="C184" s="39" t="str">
        <f>IFERROR(__xludf.DUMMYFUNCTION("GOOGLETRANSLATE(FT!C184,""vi"",""ja"")"),"エミールアイコンをクリックして確認してください")</f>
        <v>エミールアイコンをクリックして確認してください</v>
      </c>
      <c r="D184" s="39"/>
      <c r="E184" s="39" t="str">
        <f>IFERROR(__xludf.DUMMYFUNCTION("GOOGLETRANSLATE(FT!E184,""vi"",""ja"")"),"1. 検索結果画面へ
2.エミールアイコンのクリックを確認します")</f>
        <v>1. 検索結果画面へ
2.エミールアイコンのクリックを確認します</v>
      </c>
      <c r="F184" s="39" t="str">
        <f>IFERROR(__xludf.DUMMYFUNCTION("GOOGLETRANSLATE(FT!F184,""vi"",""ja"")"),"2.デジタルツール一覧画面に移動します")</f>
        <v>2.デジタルツール一覧画面に移動します</v>
      </c>
      <c r="G184" s="40" t="s">
        <v>45</v>
      </c>
      <c r="H184" s="41" t="s">
        <v>46</v>
      </c>
      <c r="I184" s="42"/>
      <c r="J184" s="41" t="s">
        <v>46</v>
      </c>
      <c r="K184" s="42"/>
      <c r="L184" s="50" t="s">
        <v>667</v>
      </c>
      <c r="M184" s="50" t="s">
        <v>667</v>
      </c>
      <c r="N184" s="50" t="s">
        <v>667</v>
      </c>
      <c r="O184" s="51"/>
    </row>
    <row r="185" ht="48.0" customHeight="1">
      <c r="A185" s="38" t="str">
        <f t="shared" si="5"/>
        <v>FT_177</v>
      </c>
      <c r="B185" s="39"/>
      <c r="C185" s="39" t="str">
        <f>IFERROR(__xludf.DUMMYFUNCTION("GOOGLETRANSLATE(FT!C185,""vi"",""ja"")"),"結果画面でキーワード検索する場合に確認してください")</f>
        <v>結果画面でキーワード検索する場合に確認してください</v>
      </c>
      <c r="D185" s="39"/>
      <c r="E185" s="84" t="str">
        <f>IFERROR(__xludf.DUMMYFUNCTION("GOOGLETRANSLATE(FT!E185,""vi"",""ja"")"),"1. 検索結果画面へ
2. ヘッダーの検索テキストボックスにテキストを入力します。 
3.「さがす」ボタンをクリック")</f>
        <v>1. 検索結果画面へ
2. ヘッダーの検索テキストボックスにテキストを入力します。 
3.「さがす」ボタンをクリック</v>
      </c>
      <c r="F185" s="39" t="str">
        <f>IFERROR(__xludf.DUMMYFUNCTION("GOOGLETRANSLATE(FT!F185,""vi"",""ja"")"),"3. リストデータのあるリストデジタルツール画面に移動します ")</f>
        <v>3. リストデータのあるリストデジタルツール画面に移動します </v>
      </c>
      <c r="G185" s="40" t="s">
        <v>45</v>
      </c>
      <c r="H185" s="41" t="s">
        <v>46</v>
      </c>
      <c r="I185" s="42"/>
      <c r="J185" s="41" t="s">
        <v>46</v>
      </c>
      <c r="K185" s="42"/>
      <c r="L185" s="50" t="s">
        <v>667</v>
      </c>
      <c r="M185" s="50" t="s">
        <v>667</v>
      </c>
      <c r="N185" s="50" t="s">
        <v>667</v>
      </c>
      <c r="O185" s="51"/>
    </row>
    <row r="186" ht="15.75" customHeight="1">
      <c r="A186" s="47" t="str">
        <f>IFERROR(__xludf.DUMMYFUNCTION("GOOGLETRANSLATE(FT!A186,""vi"",""ja"")"),"ダウンロード")</f>
        <v>ダウンロード</v>
      </c>
      <c r="B186" s="16"/>
      <c r="C186" s="16"/>
      <c r="D186" s="16"/>
      <c r="E186" s="16"/>
      <c r="F186" s="16"/>
      <c r="G186" s="16"/>
      <c r="H186" s="16"/>
      <c r="I186" s="16"/>
      <c r="J186" s="16"/>
      <c r="K186" s="16"/>
      <c r="L186" s="16"/>
      <c r="M186" s="16"/>
      <c r="N186" s="16"/>
      <c r="O186" s="17"/>
    </row>
    <row r="187" ht="15.75" customHeight="1">
      <c r="A187" s="38" t="str">
        <f t="shared" ref="A187:A196" si="6">IF(F187&lt;&gt;"",""&amp;TEXT($B$1,"##")&amp;"_"&amp;(ROW()-5)-COUNTBLANK(F$6:F187),"")</f>
        <v>FT_178</v>
      </c>
      <c r="B187" s="39" t="str">
        <f>IFERROR(__xludf.DUMMYFUNCTION("GOOGLETRANSLATE(FT!B187,""vi"",""ja"")"),"デジタルツール一覧画面からダウンロード")</f>
        <v>デジタルツール一覧画面からダウンロード</v>
      </c>
      <c r="C187" s="39" t="str">
        <f>IFERROR(__xludf.DUMMYFUNCTION("GOOGLETRANSLATE(FT!C187,""vi"",""ja"")"),"ダウンロードボタンの表示を確認する")</f>
        <v>ダウンロードボタンの表示を確認する</v>
      </c>
      <c r="D187" s="39" t="str">
        <f>IFERROR(__xludf.DUMMYFUNCTION("GOOGLETRANSLATE(FT!D187,""vi"",""ja"")"),"デジタルツールを選んでいない場合")</f>
        <v>デジタルツールを選んでいない場合</v>
      </c>
      <c r="E187" s="39" t="str">
        <f>IFERROR(__xludf.DUMMYFUNCTION("GOOGLETRANSLATE(FT!E187,""vi"",""ja"")"),"1.デジタルツール一覧画面へ 
2.「ダウンロード」ボタンの表示を確認する")</f>
        <v>1.デジタルツール一覧画面へ 
2.「ダウンロード」ボタンの表示を確認する</v>
      </c>
      <c r="F187" s="39" t="str">
        <f>IFERROR(__xludf.DUMMYFUNCTION("GOOGLETRANSLATE(FT!F187,""vi"",""ja"")"),"2. ダウンロードボタンが無効になっています")</f>
        <v>2. ダウンロードボタンが無効になっています</v>
      </c>
      <c r="G187" s="40" t="s">
        <v>45</v>
      </c>
      <c r="H187" s="41" t="s">
        <v>46</v>
      </c>
      <c r="I187" s="42"/>
      <c r="J187" s="41" t="s">
        <v>46</v>
      </c>
      <c r="K187" s="42"/>
      <c r="L187" s="42" t="s">
        <v>667</v>
      </c>
      <c r="M187" s="42" t="s">
        <v>667</v>
      </c>
      <c r="N187" s="42" t="s">
        <v>667</v>
      </c>
      <c r="O187" s="43"/>
    </row>
    <row r="188" ht="15.75" customHeight="1">
      <c r="A188" s="38" t="str">
        <f t="shared" si="6"/>
        <v>FT_179</v>
      </c>
      <c r="B188" s="39"/>
      <c r="C188" s="39"/>
      <c r="D188" s="39" t="str">
        <f>IFERROR(__xludf.DUMMYFUNCTION("GOOGLETRANSLATE(FT!D188,""vi"",""ja"")"),"デジタルツールが選択されました")</f>
        <v>デジタルツールが選択されました</v>
      </c>
      <c r="E188" s="39" t="str">
        <f>IFERROR(__xludf.DUMMYFUNCTION("GOOGLETRANSLATE(FT!E188,""vi"",""ja"")"),"1.デジタルツール一覧画面へ 
2. クリックして少なくとも 1 つのデジタル ツールを選択します
3. ダウンロードボタンの表示を確認する")</f>
        <v>1.デジタルツール一覧画面へ 
2. クリックして少なくとも 1 つのデジタル ツールを選択します
3. ダウンロードボタンの表示を確認する</v>
      </c>
      <c r="F188" s="39" t="str">
        <f>IFERROR(__xludf.DUMMYFUNCTION("GOOGLETRANSLATE(FT!F188,""vi"",""ja"")"),"2. ボタンのダウンロードを有効にする")</f>
        <v>2. ボタンのダウンロードを有効にする</v>
      </c>
      <c r="G188" s="40" t="s">
        <v>45</v>
      </c>
      <c r="H188" s="41" t="s">
        <v>46</v>
      </c>
      <c r="I188" s="42"/>
      <c r="J188" s="41" t="s">
        <v>46</v>
      </c>
      <c r="K188" s="42"/>
      <c r="L188" s="42" t="s">
        <v>667</v>
      </c>
      <c r="M188" s="42" t="s">
        <v>667</v>
      </c>
      <c r="N188" s="42" t="s">
        <v>667</v>
      </c>
      <c r="O188" s="43"/>
    </row>
    <row r="189" ht="15.75" customHeight="1">
      <c r="A189" s="38" t="str">
        <f t="shared" si="6"/>
        <v>FT_180</v>
      </c>
      <c r="B189" s="39"/>
      <c r="C189" s="39" t="str">
        <f>IFERROR(__xludf.DUMMYFUNCTION("GOOGLETRANSLATE(FT!C189,""vi"",""ja"")"),"1枚の写真をテストダウンロード")</f>
        <v>1枚の写真をテストダウンロード</v>
      </c>
      <c r="D189" s="39" t="str">
        <f>IFERROR(__xludf.DUMMYFUNCTION("GOOGLETRANSLATE(FT!D189,""vi"",""ja"")"),"デバイス: ASUS、CHrombook")</f>
        <v>デバイス: ASUS、CHrombook</v>
      </c>
      <c r="E189" s="39" t="str">
        <f>IFERROR(__xludf.DUMMYFUNCTION("GOOGLETRANSLATE(FT!E189,""vi"",""ja"")"),"1.デジタルツール一覧画面へ 
2. クリックしてデジタルツールを選択します
3. 「ダウンロード」ボタンをクリックします")</f>
        <v>1.デジタルツール一覧画面へ 
2. クリックしてデジタルツールを選択します
3. 「ダウンロード」ボタンをクリックします</v>
      </c>
      <c r="F189" s="39" t="str">
        <f>IFERROR(__xludf.DUMMYFUNCTION("GOOGLETRANSLATE(FT!F189,""vi"",""ja"")"),"3. 新しく選択したデジタルツールイメージをダウンロードします")</f>
        <v>3. 新しく選択したデジタルツールイメージをダウンロードします</v>
      </c>
      <c r="G189" s="40" t="s">
        <v>45</v>
      </c>
      <c r="H189" s="41" t="s">
        <v>46</v>
      </c>
      <c r="I189" s="42"/>
      <c r="J189" s="41" t="s">
        <v>46</v>
      </c>
      <c r="K189" s="42"/>
      <c r="L189" s="42" t="s">
        <v>667</v>
      </c>
      <c r="M189" s="42" t="s">
        <v>667</v>
      </c>
      <c r="N189" s="42" t="s">
        <v>667</v>
      </c>
      <c r="O189" s="43"/>
    </row>
    <row r="190" ht="15.75" customHeight="1">
      <c r="A190" s="38" t="str">
        <f t="shared" si="6"/>
        <v>FT_181</v>
      </c>
      <c r="B190" s="39"/>
      <c r="C190" s="39"/>
      <c r="D190" s="39" t="str">
        <f>IFERROR(__xludf.DUMMYFUNCTION("GOOGLETRANSLATE(FT!D190,""vi"",""ja"")"),"デバイス:iPad")</f>
        <v>デバイス:iPad</v>
      </c>
      <c r="E190" s="39" t="str">
        <f>IFERROR(__xludf.DUMMYFUNCTION("GOOGLETRANSLATE(FT!E190,""vi"",""ja"")"),"1.デジタルツール一覧画面へ 
2. クリックして 20 個のデジタル ツールを選択します
3. 「ダウンロード」ボタンをクリックします")</f>
        <v>1.デジタルツール一覧画面へ 
2. クリックして 20 個のデジタル ツールを選択します
3. 「ダウンロード」ボタンをクリックします</v>
      </c>
      <c r="F190" s="39" t="str">
        <f>IFERROR(__xludf.DUMMYFUNCTION("GOOGLETRANSLATE(FT!F190,""vi"",""ja"")"),"3. 新しく選択したすべてのデジタル ツール イメージをダウンロードします")</f>
        <v>3. 新しく選択したすべてのデジタル ツール イメージをダウンロードします</v>
      </c>
      <c r="G190" s="40" t="s">
        <v>45</v>
      </c>
      <c r="H190" s="41" t="s">
        <v>46</v>
      </c>
      <c r="I190" s="42"/>
      <c r="J190" s="41" t="s">
        <v>46</v>
      </c>
      <c r="K190" s="42"/>
      <c r="L190" s="42" t="s">
        <v>669</v>
      </c>
      <c r="M190" s="42" t="s">
        <v>669</v>
      </c>
      <c r="N190" s="42" t="s">
        <v>667</v>
      </c>
      <c r="O190" s="43"/>
    </row>
    <row r="191" ht="15.75" customHeight="1">
      <c r="A191" s="38" t="str">
        <f t="shared" si="6"/>
        <v>FT_182</v>
      </c>
      <c r="B191" s="39"/>
      <c r="C191" s="39" t="str">
        <f>IFERROR(__xludf.DUMMYFUNCTION("GOOGLETRANSLATE(FT!C191,""vi"",""ja"")"),"複数の写真のダウンロードを確認する")</f>
        <v>複数の写真のダウンロードを確認する</v>
      </c>
      <c r="D191" s="39" t="str">
        <f>IFERROR(__xludf.DUMMYFUNCTION("GOOGLETRANSLATE(FT!D191,""vi"",""ja"")"),"デバイス: ASUS、CHrombook")</f>
        <v>デバイス: ASUS、CHrombook</v>
      </c>
      <c r="E191" s="39" t="str">
        <f>IFERROR(__xludf.DUMMYFUNCTION("GOOGLETRANSLATE(FT!E191,""vi"",""ja"")"),"1.デジタルツール一覧画面へ 
2. クリックしてデジタルツールを選択します
3. 「ダウンロード」ボタンをクリックします")</f>
        <v>1.デジタルツール一覧画面へ 
2. クリックしてデジタルツールを選択します
3. 「ダウンロード」ボタンをクリックします</v>
      </c>
      <c r="F191" s="39" t="str">
        <f>IFERROR(__xludf.DUMMYFUNCTION("GOOGLETRANSLATE(FT!F191,""vi"",""ja"")"),"3. 新しく選択したデジタル ツール イメージを、Emile のイラスト.zip という名前の zip ファイルにダウンロードします。
→ zipファイルをクリックすると、ダウンロードしたデジタルツール画像が含まれるフォルダーが表示されます")</f>
        <v>3. 新しく選択したデジタル ツール イメージを、Emile のイラスト.zip という名前の zip ファイルにダウンロードします。
→ zipファイルをクリックすると、ダウンロードしたデジタルツール画像が含まれるフォルダーが表示されます</v>
      </c>
      <c r="G191" s="40" t="s">
        <v>45</v>
      </c>
      <c r="H191" s="41" t="s">
        <v>46</v>
      </c>
      <c r="I191" s="42"/>
      <c r="J191" s="41" t="s">
        <v>46</v>
      </c>
      <c r="K191" s="42"/>
      <c r="L191" s="42" t="s">
        <v>667</v>
      </c>
      <c r="M191" s="42" t="s">
        <v>667</v>
      </c>
      <c r="N191" s="42" t="s">
        <v>667</v>
      </c>
      <c r="O191" s="43"/>
    </row>
    <row r="192" ht="15.75" customHeight="1">
      <c r="A192" s="38" t="str">
        <f t="shared" si="6"/>
        <v>FT_183</v>
      </c>
      <c r="B192" s="39"/>
      <c r="C192" s="39"/>
      <c r="D192" s="39" t="str">
        <f>IFERROR(__xludf.DUMMYFUNCTION("GOOGLETRANSLATE(FT!D192,""vi"",""ja"")"),"デバイス:iPad")</f>
        <v>デバイス:iPad</v>
      </c>
      <c r="E192" s="39" t="str">
        <f>IFERROR(__xludf.DUMMYFUNCTION("GOOGLETRANSLATE(FT!E192,""vi"",""ja"")"),"1.デジタルツール一覧画面へ 
2. クリックして 20 個のデジタル ツールを選択します
3. 「ダウンロード」ボタンをクリックします")</f>
        <v>1.デジタルツール一覧画面へ 
2. クリックして 20 個のデジタル ツールを選択します
3. 「ダウンロード」ボタンをクリックします</v>
      </c>
      <c r="F192" s="39" t="str">
        <f>IFERROR(__xludf.DUMMYFUNCTION("GOOGLETRANSLATE(FT!F192,""vi"",""ja"")"),"3. 新しく選択したデジタル ツールの画像をすべて、Emile のイラスト.zip という名前の zip ファイルにダウンロードします。
→ zipファイルをクリックすると、ダウンロードしたデジタルツール画像が含まれるフォルダーが表示されます")</f>
        <v>3. 新しく選択したデジタル ツールの画像をすべて、Emile のイラスト.zip という名前の zip ファイルにダウンロードします。
→ zipファイルをクリックすると、ダウンロードしたデジタルツール画像が含まれるフォルダーが表示されます</v>
      </c>
      <c r="G192" s="40" t="s">
        <v>45</v>
      </c>
      <c r="H192" s="41" t="s">
        <v>46</v>
      </c>
      <c r="I192" s="42"/>
      <c r="J192" s="41" t="s">
        <v>46</v>
      </c>
      <c r="K192" s="42"/>
      <c r="L192" s="42" t="s">
        <v>669</v>
      </c>
      <c r="M192" s="42" t="s">
        <v>669</v>
      </c>
      <c r="N192" s="42" t="s">
        <v>667</v>
      </c>
      <c r="O192" s="43"/>
    </row>
    <row r="193" ht="15.75" customHeight="1">
      <c r="A193" s="38" t="str">
        <f t="shared" si="6"/>
        <v>FT_184</v>
      </c>
      <c r="B193" s="39"/>
      <c r="C193" s="39" t="str">
        <f>IFERROR(__xludf.DUMMYFUNCTION("GOOGLETRANSLATE(FT!C193,""vi"",""ja"")"),"ダウンロードが完了したら確認してください")</f>
        <v>ダウンロードが完了したら確認してください</v>
      </c>
      <c r="D193" s="39" t="str">
        <f>IFERROR(__xludf.DUMMYFUNCTION("GOOGLETRANSLATE(FT!D193,""vi"",""ja"")"),"1.デジタルツール一覧画面へ 
2. クリックしてデジタルツールを選択します
3. 「ダウンロード」ボタンをクリックします")</f>
        <v>1.デジタルツール一覧画面へ 
2. クリックしてデジタルツールを選択します
3. 「ダウンロード」ボタンをクリックします</v>
      </c>
      <c r="E193" s="39" t="str">
        <f>IFERROR(__xludf.DUMMYFUNCTION("GOOGLETRANSLATE(FT!E193,""vi"",""ja"")"),"1. ステップ2の事前条件で選択したデジタルツールを確認します
2.「せんたく中のイラストを見る」ボタンをクリックします
3. 選択したデジタルツールのリストを確認します")</f>
        <v>1. ステップ2の事前条件で選択したデジタルツールを確認します
2.「せんたく中のイラストを見る」ボタンをクリックします
3. 選択したデジタルツールのリストを確認します</v>
      </c>
      <c r="F193" s="39" t="str">
        <f>IFERROR(__xludf.DUMMYFUNCTION("GOOGLETRANSLATE(FT!F193,""vi"",""ja"")"),"4. ステップ 2 の事前条件のすべてのデジタル ツール イメージの選択が解除されます。
6. 選択したデジタルツールのリストがすべて削除されます ")</f>
        <v>4. ステップ 2 の事前条件のすべてのデジタル ツール イメージの選択が解除されます。
6. 選択したデジタルツールのリストがすべて削除されます </v>
      </c>
      <c r="G193" s="40" t="s">
        <v>45</v>
      </c>
      <c r="H193" s="41" t="s">
        <v>46</v>
      </c>
      <c r="I193" s="42"/>
      <c r="J193" s="41" t="s">
        <v>46</v>
      </c>
      <c r="K193" s="42"/>
      <c r="L193" s="42" t="s">
        <v>667</v>
      </c>
      <c r="M193" s="42" t="s">
        <v>667</v>
      </c>
      <c r="N193" s="42" t="s">
        <v>667</v>
      </c>
      <c r="O193" s="43"/>
    </row>
    <row r="194" ht="15.75" customHeight="1">
      <c r="A194" s="38" t="str">
        <f t="shared" si="6"/>
        <v>FT_185</v>
      </c>
      <c r="B194" s="39"/>
      <c r="C194" s="85" t="str">
        <f>IFERROR(__xludf.DUMMYFUNCTION("GOOGLETRANSLATE(FT!C194,""vi"",""ja"")"),"ダウンロードした画像の名前を確認する")</f>
        <v>ダウンロードした画像の名前を確認する</v>
      </c>
      <c r="D194" s="85" t="str">
        <f>IFERROR(__xludf.DUMMYFUNCTION("GOOGLETRANSLATE(FT!D194,""vi"",""ja"")"),"1.デジタルツール一覧画面へ 
2. クリックしてデジタルツールを選択します
3. 「ダウンロード」ボタンをクリックします")</f>
        <v>1.デジタルツール一覧画面へ 
2. クリックしてデジタルツールを選択します
3. 「ダウンロード」ボタンをクリックします</v>
      </c>
      <c r="E194" s="85" t="str">
        <f>IFERROR(__xludf.DUMMYFUNCTION("GOOGLETRANSLATE(FT!E194,""vi"",""ja"")"),"1. ダウンロードしたデジタルツール画像が保存されているパソコンのフォルダーを開きます 
2. ダウンロードしたファイル数を確認する
3. ダウンロードしたファイル名とファイル形式を確認します。")</f>
        <v>1. ダウンロードしたデジタルツール画像が保存されているパソコンのフォルダーを開きます 
2. ダウンロードしたファイル数を確認する
3. ダウンロードしたファイル名とファイル形式を確認します。</v>
      </c>
      <c r="F194" s="85" t="str">
        <f>IFERROR(__xludf.DUMMYFUNCTION("GOOGLETRANSLATE(FT!F194,""vi"",""ja"")"),"2. ダウンロードされるファイルの数は、画面上で選択したデジタルツールの数に対応します
3. ファイル名はデジタルツールイメージの名前になります。 
画像形式は管理画面でアップロードした形式に依存します:JPG/PNG/JPEG/JFIF)")</f>
        <v>2. ダウンロードされるファイルの数は、画面上で選択したデジタルツールの数に対応します
3. ファイル名はデジタルツールイメージの名前になります。 
画像形式は管理画面でアップロードした形式に依存します:JPG/PNG/JPEG/JFIF)</v>
      </c>
      <c r="G194" s="40" t="s">
        <v>45</v>
      </c>
      <c r="H194" s="41" t="s">
        <v>46</v>
      </c>
      <c r="I194" s="42"/>
      <c r="J194" s="41" t="s">
        <v>46</v>
      </c>
      <c r="K194" s="42"/>
      <c r="L194" s="42" t="s">
        <v>667</v>
      </c>
      <c r="M194" s="42" t="s">
        <v>667</v>
      </c>
      <c r="N194" s="42" t="s">
        <v>667</v>
      </c>
      <c r="O194" s="43"/>
    </row>
    <row r="195" ht="15.75" customHeight="1">
      <c r="A195" s="38" t="str">
        <f t="shared" si="6"/>
        <v>FT_186</v>
      </c>
      <c r="B195" s="39" t="str">
        <f>IFERROR(__xludf.DUMMYFUNCTION("GOOGLETRANSLATE(FT!B195,""vi"",""ja"")"),"検索結果画面からダウンロード")</f>
        <v>検索結果画面からダウンロード</v>
      </c>
      <c r="C195" s="85" t="str">
        <f>IFERROR(__xludf.DUMMYFUNCTION("GOOGLETRANSLATE(FT!C195,""vi"",""ja"")"),"FT_178 ～ FT_185 のケースでも同じことを行います。")</f>
        <v>FT_178 ～ FT_185 のケースでも同じことを行います。</v>
      </c>
      <c r="D195" s="85"/>
      <c r="E195" s="85" t="str">
        <f>IFERROR(__xludf.DUMMYFUNCTION("GOOGLETRANSLATE(FT!E195,""vi"",""ja"")"),"1. 検索結果画面を開く
2. ケース FT_178 ～ FT_185 を実行します。")</f>
        <v>1. 検索結果画面を開く
2. ケース FT_178 ～ FT_185 を実行します。</v>
      </c>
      <c r="F195" s="85" t="str">
        <f>IFERROR(__xludf.DUMMYFUNCTION("GOOGLETRANSLATE(FT!F195,""vi"",""ja"")"),"2. すべてのテスト ケースに合格する")</f>
        <v>2. すべてのテスト ケースに合格する</v>
      </c>
      <c r="G195" s="40" t="s">
        <v>45</v>
      </c>
      <c r="H195" s="41" t="s">
        <v>46</v>
      </c>
      <c r="I195" s="42"/>
      <c r="J195" s="41" t="s">
        <v>46</v>
      </c>
      <c r="K195" s="42"/>
      <c r="L195" s="42" t="s">
        <v>667</v>
      </c>
      <c r="M195" s="42" t="s">
        <v>667</v>
      </c>
      <c r="N195" s="42" t="s">
        <v>667</v>
      </c>
      <c r="O195" s="43"/>
    </row>
    <row r="196" ht="15.75" customHeight="1">
      <c r="A196" s="38" t="str">
        <f t="shared" si="6"/>
        <v>FT_187</v>
      </c>
      <c r="B196" s="39" t="str">
        <f>IFERROR(__xludf.DUMMYFUNCTION("GOOGLETRANSLATE(FT!B196,""vi"",""ja"")"),"一般ダウンロード")</f>
        <v>一般ダウンロード</v>
      </c>
      <c r="C196" s="85" t="str">
        <f>IFERROR(__xludf.DUMMYFUNCTION("GOOGLETRANSLATE(FT!C196,""vi"",""ja"")"),"デジタルツール一覧画面と検索結果画面の両方で選択した画像をダウンロードする際にチェックを入れる")</f>
        <v>デジタルツール一覧画面と検索結果画面の両方で選択した画像をダウンロードする際にチェックを入れる</v>
      </c>
      <c r="D196" s="85" t="str">
        <f>IFERROR(__xludf.DUMMYFUNCTION("GOOGLETRANSLATE(FT!D196,""vi"",""ja"")"),"1. デジタルツール一覧画面に移動し、クリックしてデジタルツールを選択します
2. 絵のしゅるいの検索結果画面に移動し、デジタルツールをクリックします 
3. 教科書・学年別の検索結果画面に移動し、デジタルツールをクリックします ")</f>
        <v>1. デジタルツール一覧画面に移動し、クリックしてデジタルツールを選択します
2. 絵のしゅるいの検索結果画面に移動し、デジタルツールをクリックします 
3. 教科書・学年別の検索結果画面に移動し、デジタルツールをクリックします </v>
      </c>
      <c r="E196" s="85" t="str">
        <f>IFERROR(__xludf.DUMMYFUNCTION("GOOGLETRANSLATE(FT!E196,""vi"",""ja"")"),"1. ダウンロードボタンをクリックします 
2.デジタルツール一覧画面に移動し、選択したデジタルツールを確認します 
3. 絵のしゅるいで検索結果画面へ ⇒ 選択したデジタルツールを確認 
4. 教科書・学年別の検索結果画面へ ⇒ 選択したデジタルツールを確認 
5. せんたく中のイラストを見るボタンをクリック=&gt; 選択したデジタルツールの一覧を確認します")</f>
        <v>1. ダウンロードボタンをクリックします 
2.デジタルツール一覧画面に移動し、選択したデジタルツールを確認します 
3. 絵のしゅるいで検索結果画面へ ⇒ 選択したデジタルツールを確認 
4. 教科書・学年別の検索結果画面へ ⇒ 選択したデジタルツールを確認 
5. せんたく中のイラストを見るボタンをクリック=&gt; 選択したデジタルツールの一覧を確認します</v>
      </c>
      <c r="F196" s="85" t="str">
        <f>IFERROR(__xludf.DUMMYFUNCTION("GOOGLETRANSLATE(FT!F196,""vi"",""ja"")"),"2. デジタルツールのチェックが外されていることをリストします。
3. デジタルツールのチェックが外されていることをリストします。
4. デジタルツールのチェックが外されていることをリストします。
5. デジタルツールのリストはすべて削除されました")</f>
        <v>2. デジタルツールのチェックが外されていることをリストします。
3. デジタルツールのチェックが外されていることをリストします。
4. デジタルツールのチェックが外されていることをリストします。
5. デジタルツールのリストはすべて削除されました</v>
      </c>
      <c r="G196" s="40" t="s">
        <v>45</v>
      </c>
      <c r="H196" s="41" t="s">
        <v>46</v>
      </c>
      <c r="I196" s="42"/>
      <c r="J196" s="41" t="s">
        <v>46</v>
      </c>
      <c r="K196" s="42"/>
      <c r="L196" s="42" t="s">
        <v>667</v>
      </c>
      <c r="M196" s="42" t="s">
        <v>667</v>
      </c>
      <c r="N196" s="42" t="s">
        <v>667</v>
      </c>
      <c r="O196" s="43"/>
    </row>
    <row r="197" ht="15.75" customHeight="1">
      <c r="G197" s="46"/>
      <c r="H197" s="46"/>
      <c r="I197" s="46"/>
      <c r="J197" s="46"/>
      <c r="K197" s="46"/>
      <c r="L197" s="46"/>
      <c r="M197" s="46"/>
      <c r="N197" s="46"/>
      <c r="O197" s="46"/>
    </row>
    <row r="198" ht="15.75" customHeight="1">
      <c r="G198" s="46"/>
      <c r="H198" s="46"/>
      <c r="I198" s="46"/>
      <c r="J198" s="46"/>
      <c r="K198" s="46"/>
      <c r="L198" s="46"/>
      <c r="M198" s="46"/>
      <c r="N198" s="46"/>
      <c r="O198" s="46"/>
    </row>
    <row r="199" ht="15.75" customHeight="1">
      <c r="G199" s="46"/>
      <c r="H199" s="46"/>
      <c r="I199" s="46"/>
      <c r="J199" s="46"/>
      <c r="K199" s="46"/>
      <c r="L199" s="46"/>
      <c r="M199" s="46"/>
      <c r="N199" s="46"/>
      <c r="O199" s="46"/>
    </row>
    <row r="200" ht="15.75" customHeight="1">
      <c r="G200" s="46"/>
      <c r="H200" s="46"/>
      <c r="I200" s="46"/>
      <c r="J200" s="46"/>
      <c r="K200" s="46"/>
      <c r="L200" s="46"/>
      <c r="M200" s="46"/>
      <c r="N200" s="46"/>
      <c r="O200" s="46"/>
    </row>
    <row r="201" ht="15.75" customHeight="1">
      <c r="G201" s="46"/>
      <c r="H201" s="46"/>
      <c r="I201" s="46"/>
      <c r="J201" s="46"/>
      <c r="K201" s="46"/>
      <c r="L201" s="46"/>
      <c r="M201" s="46"/>
      <c r="N201" s="46"/>
      <c r="O201" s="46"/>
    </row>
    <row r="202" ht="15.75" customHeight="1">
      <c r="G202" s="46"/>
      <c r="H202" s="46"/>
      <c r="I202" s="46"/>
      <c r="J202" s="46"/>
      <c r="K202" s="46"/>
      <c r="L202" s="46"/>
      <c r="M202" s="46"/>
      <c r="N202" s="46"/>
      <c r="O202" s="46"/>
    </row>
    <row r="203" ht="15.75" customHeight="1">
      <c r="G203" s="46"/>
      <c r="H203" s="46"/>
      <c r="I203" s="46"/>
      <c r="J203" s="46"/>
      <c r="K203" s="46"/>
      <c r="L203" s="46"/>
      <c r="M203" s="46"/>
      <c r="N203" s="46"/>
      <c r="O203" s="46"/>
    </row>
    <row r="204" ht="15.75" customHeight="1">
      <c r="G204" s="46"/>
      <c r="H204" s="46"/>
      <c r="I204" s="46"/>
      <c r="J204" s="46"/>
      <c r="K204" s="46"/>
      <c r="L204" s="46"/>
      <c r="M204" s="46"/>
      <c r="N204" s="46"/>
      <c r="O204" s="46"/>
    </row>
    <row r="205" ht="15.75" customHeight="1">
      <c r="G205" s="46"/>
      <c r="H205" s="46"/>
      <c r="I205" s="46"/>
      <c r="J205" s="46"/>
      <c r="K205" s="46"/>
      <c r="L205" s="46"/>
      <c r="M205" s="46"/>
      <c r="N205" s="46"/>
      <c r="O205" s="46"/>
    </row>
    <row r="206" ht="15.75" customHeight="1">
      <c r="G206" s="46"/>
      <c r="H206" s="46"/>
      <c r="I206" s="46"/>
      <c r="J206" s="46"/>
      <c r="K206" s="46"/>
      <c r="L206" s="46"/>
      <c r="M206" s="46"/>
      <c r="N206" s="46"/>
      <c r="O206" s="46"/>
    </row>
    <row r="207" ht="15.75" customHeight="1">
      <c r="G207" s="46"/>
      <c r="H207" s="46"/>
      <c r="I207" s="46"/>
      <c r="J207" s="46"/>
      <c r="K207" s="46"/>
      <c r="L207" s="46"/>
      <c r="M207" s="46"/>
      <c r="N207" s="46"/>
      <c r="O207" s="46"/>
    </row>
    <row r="208" ht="15.75" customHeight="1">
      <c r="G208" s="46"/>
      <c r="H208" s="46"/>
      <c r="I208" s="46"/>
      <c r="J208" s="46"/>
      <c r="K208" s="46"/>
      <c r="L208" s="46"/>
      <c r="M208" s="46"/>
      <c r="N208" s="46"/>
      <c r="O208" s="46"/>
    </row>
    <row r="209" ht="15.75" customHeight="1">
      <c r="G209" s="46"/>
      <c r="H209" s="46"/>
      <c r="I209" s="46"/>
      <c r="J209" s="46"/>
      <c r="K209" s="46"/>
      <c r="L209" s="46"/>
      <c r="M209" s="46"/>
      <c r="N209" s="46"/>
      <c r="O209" s="46"/>
    </row>
    <row r="210" ht="15.75" customHeight="1">
      <c r="G210" s="46"/>
      <c r="H210" s="46"/>
      <c r="I210" s="46"/>
      <c r="J210" s="46"/>
      <c r="K210" s="46"/>
      <c r="L210" s="46"/>
      <c r="M210" s="46"/>
      <c r="N210" s="46"/>
      <c r="O210" s="46"/>
    </row>
    <row r="211" ht="15.75" customHeight="1">
      <c r="G211" s="46"/>
      <c r="H211" s="46"/>
      <c r="I211" s="46"/>
      <c r="J211" s="46"/>
      <c r="K211" s="46"/>
      <c r="L211" s="46"/>
      <c r="M211" s="46"/>
      <c r="N211" s="46"/>
      <c r="O211" s="46"/>
    </row>
    <row r="212" ht="15.75" customHeight="1">
      <c r="G212" s="46"/>
      <c r="H212" s="46"/>
      <c r="I212" s="46"/>
      <c r="J212" s="46"/>
      <c r="K212" s="46"/>
      <c r="L212" s="46"/>
      <c r="M212" s="46"/>
      <c r="N212" s="46"/>
      <c r="O212" s="46"/>
    </row>
    <row r="213" ht="15.75" customHeight="1">
      <c r="G213" s="46"/>
      <c r="H213" s="46"/>
      <c r="I213" s="46"/>
      <c r="J213" s="46"/>
      <c r="K213" s="46"/>
      <c r="L213" s="46"/>
      <c r="M213" s="46"/>
      <c r="N213" s="46"/>
      <c r="O213" s="46"/>
    </row>
    <row r="214" ht="15.75" customHeight="1">
      <c r="G214" s="46"/>
      <c r="H214" s="46"/>
      <c r="I214" s="46"/>
      <c r="J214" s="46"/>
      <c r="K214" s="46"/>
      <c r="L214" s="46"/>
      <c r="M214" s="46"/>
      <c r="N214" s="46"/>
      <c r="O214" s="46"/>
    </row>
    <row r="215" ht="15.75" customHeight="1">
      <c r="G215" s="46"/>
      <c r="H215" s="46"/>
      <c r="I215" s="46"/>
      <c r="J215" s="46"/>
      <c r="K215" s="46"/>
      <c r="L215" s="46"/>
      <c r="M215" s="46"/>
      <c r="N215" s="46"/>
      <c r="O215" s="46"/>
    </row>
    <row r="216" ht="15.75" customHeight="1">
      <c r="G216" s="46"/>
      <c r="H216" s="46"/>
      <c r="I216" s="46"/>
      <c r="J216" s="46"/>
      <c r="K216" s="46"/>
      <c r="L216" s="46"/>
      <c r="M216" s="46"/>
      <c r="N216" s="46"/>
      <c r="O216" s="46"/>
    </row>
    <row r="217" ht="15.75" customHeight="1">
      <c r="G217" s="46"/>
      <c r="H217" s="46"/>
      <c r="I217" s="46"/>
      <c r="J217" s="46"/>
      <c r="K217" s="46"/>
      <c r="L217" s="46"/>
      <c r="M217" s="46"/>
      <c r="N217" s="46"/>
      <c r="O217" s="46"/>
    </row>
    <row r="218" ht="15.75" customHeight="1">
      <c r="G218" s="46"/>
      <c r="H218" s="46"/>
      <c r="I218" s="46"/>
      <c r="J218" s="46"/>
      <c r="K218" s="46"/>
      <c r="L218" s="46"/>
      <c r="M218" s="46"/>
      <c r="N218" s="46"/>
      <c r="O218" s="46"/>
    </row>
    <row r="219" ht="15.75" customHeight="1">
      <c r="G219" s="46"/>
      <c r="H219" s="46"/>
      <c r="I219" s="46"/>
      <c r="J219" s="46"/>
      <c r="K219" s="46"/>
      <c r="L219" s="46"/>
      <c r="M219" s="46"/>
      <c r="N219" s="46"/>
      <c r="O219" s="46"/>
    </row>
    <row r="220" ht="15.75" customHeight="1">
      <c r="G220" s="46"/>
      <c r="H220" s="46"/>
      <c r="I220" s="46"/>
      <c r="J220" s="46"/>
      <c r="K220" s="46"/>
      <c r="L220" s="46"/>
      <c r="M220" s="46"/>
      <c r="N220" s="46"/>
      <c r="O220" s="46"/>
    </row>
    <row r="221" ht="15.75" customHeight="1">
      <c r="G221" s="46"/>
      <c r="H221" s="46"/>
      <c r="I221" s="46"/>
      <c r="J221" s="46"/>
      <c r="K221" s="46"/>
      <c r="L221" s="46"/>
      <c r="M221" s="46"/>
      <c r="N221" s="46"/>
      <c r="O221" s="46"/>
    </row>
    <row r="222" ht="15.75" customHeight="1">
      <c r="G222" s="46"/>
      <c r="H222" s="46"/>
      <c r="I222" s="46"/>
      <c r="J222" s="46"/>
      <c r="K222" s="46"/>
      <c r="L222" s="46"/>
      <c r="M222" s="46"/>
      <c r="N222" s="46"/>
      <c r="O222" s="46"/>
    </row>
    <row r="223" ht="15.75" customHeight="1">
      <c r="G223" s="46"/>
      <c r="H223" s="46"/>
      <c r="I223" s="46"/>
      <c r="J223" s="46"/>
      <c r="K223" s="46"/>
      <c r="L223" s="46"/>
      <c r="M223" s="46"/>
      <c r="N223" s="46"/>
      <c r="O223" s="46"/>
    </row>
    <row r="224" ht="15.75" customHeight="1">
      <c r="G224" s="46"/>
      <c r="H224" s="46"/>
      <c r="I224" s="46"/>
      <c r="J224" s="46"/>
      <c r="K224" s="46"/>
      <c r="L224" s="46"/>
      <c r="M224" s="46"/>
      <c r="N224" s="46"/>
      <c r="O224" s="46"/>
    </row>
    <row r="225" ht="15.75" customHeight="1">
      <c r="G225" s="46"/>
      <c r="H225" s="46"/>
      <c r="I225" s="46"/>
      <c r="J225" s="46"/>
      <c r="K225" s="46"/>
      <c r="L225" s="46"/>
      <c r="M225" s="46"/>
      <c r="N225" s="46"/>
      <c r="O225" s="46"/>
    </row>
    <row r="226" ht="15.75" customHeight="1">
      <c r="G226" s="46"/>
      <c r="H226" s="46"/>
      <c r="I226" s="46"/>
      <c r="J226" s="46"/>
      <c r="K226" s="46"/>
      <c r="L226" s="46"/>
      <c r="M226" s="46"/>
      <c r="N226" s="46"/>
      <c r="O226" s="46"/>
    </row>
    <row r="227" ht="15.75" customHeight="1">
      <c r="G227" s="46"/>
      <c r="H227" s="46"/>
      <c r="I227" s="46"/>
      <c r="J227" s="46"/>
      <c r="K227" s="46"/>
      <c r="L227" s="46"/>
      <c r="M227" s="46"/>
      <c r="N227" s="46"/>
      <c r="O227" s="46"/>
    </row>
    <row r="228" ht="15.75" customHeight="1">
      <c r="G228" s="46"/>
      <c r="H228" s="46"/>
      <c r="I228" s="46"/>
      <c r="J228" s="46"/>
      <c r="K228" s="46"/>
      <c r="L228" s="46"/>
      <c r="M228" s="46"/>
      <c r="N228" s="46"/>
      <c r="O228" s="46"/>
    </row>
    <row r="229" ht="15.75" customHeight="1">
      <c r="G229" s="46"/>
      <c r="H229" s="46"/>
      <c r="I229" s="46"/>
      <c r="J229" s="46"/>
      <c r="K229" s="46"/>
      <c r="L229" s="46"/>
      <c r="M229" s="46"/>
      <c r="N229" s="46"/>
      <c r="O229" s="46"/>
    </row>
    <row r="230" ht="15.75" customHeight="1">
      <c r="G230" s="46"/>
      <c r="H230" s="46"/>
      <c r="I230" s="46"/>
      <c r="J230" s="46"/>
      <c r="K230" s="46"/>
      <c r="L230" s="46"/>
      <c r="M230" s="46"/>
      <c r="N230" s="46"/>
      <c r="O230" s="46"/>
    </row>
    <row r="231" ht="15.75" customHeight="1">
      <c r="G231" s="46"/>
      <c r="H231" s="46"/>
      <c r="I231" s="46"/>
      <c r="J231" s="46"/>
      <c r="K231" s="46"/>
      <c r="L231" s="46"/>
      <c r="M231" s="46"/>
      <c r="N231" s="46"/>
      <c r="O231" s="46"/>
    </row>
    <row r="232" ht="15.75" customHeight="1">
      <c r="G232" s="46"/>
      <c r="H232" s="46"/>
      <c r="I232" s="46"/>
      <c r="J232" s="46"/>
      <c r="K232" s="46"/>
      <c r="L232" s="46"/>
      <c r="M232" s="46"/>
      <c r="N232" s="46"/>
      <c r="O232" s="46"/>
    </row>
    <row r="233" ht="15.75" customHeight="1">
      <c r="G233" s="46"/>
      <c r="H233" s="46"/>
      <c r="I233" s="46"/>
      <c r="J233" s="46"/>
      <c r="K233" s="46"/>
      <c r="L233" s="46"/>
      <c r="M233" s="46"/>
      <c r="N233" s="46"/>
      <c r="O233" s="46"/>
    </row>
    <row r="234" ht="15.75" customHeight="1">
      <c r="G234" s="46"/>
      <c r="H234" s="46"/>
      <c r="I234" s="46"/>
      <c r="J234" s="46"/>
      <c r="K234" s="46"/>
      <c r="L234" s="46"/>
      <c r="M234" s="46"/>
      <c r="N234" s="46"/>
      <c r="O234" s="46"/>
    </row>
    <row r="235" ht="15.75" customHeight="1">
      <c r="G235" s="46"/>
      <c r="H235" s="46"/>
      <c r="I235" s="46"/>
      <c r="J235" s="46"/>
      <c r="K235" s="46"/>
      <c r="L235" s="46"/>
      <c r="M235" s="46"/>
      <c r="N235" s="46"/>
      <c r="O235" s="46"/>
    </row>
    <row r="236" ht="15.75" customHeight="1">
      <c r="G236" s="46"/>
      <c r="H236" s="46"/>
      <c r="I236" s="46"/>
      <c r="J236" s="46"/>
      <c r="K236" s="46"/>
      <c r="L236" s="46"/>
      <c r="M236" s="46"/>
      <c r="N236" s="46"/>
      <c r="O236" s="46"/>
    </row>
    <row r="237" ht="15.75" customHeight="1">
      <c r="G237" s="46"/>
      <c r="H237" s="46"/>
      <c r="I237" s="46"/>
      <c r="J237" s="46"/>
      <c r="K237" s="46"/>
      <c r="L237" s="46"/>
      <c r="M237" s="46"/>
      <c r="N237" s="46"/>
      <c r="O237" s="46"/>
    </row>
    <row r="238" ht="15.75" customHeight="1">
      <c r="G238" s="46"/>
      <c r="H238" s="46"/>
      <c r="I238" s="46"/>
      <c r="J238" s="46"/>
      <c r="K238" s="46"/>
      <c r="L238" s="46"/>
      <c r="M238" s="46"/>
      <c r="N238" s="46"/>
      <c r="O238" s="46"/>
    </row>
    <row r="239" ht="15.75" customHeight="1">
      <c r="G239" s="46"/>
      <c r="H239" s="46"/>
      <c r="I239" s="46"/>
      <c r="J239" s="46"/>
      <c r="K239" s="46"/>
      <c r="L239" s="46"/>
      <c r="M239" s="46"/>
      <c r="N239" s="46"/>
      <c r="O239" s="46"/>
    </row>
    <row r="240" ht="15.75" customHeight="1">
      <c r="G240" s="46"/>
      <c r="H240" s="46"/>
      <c r="I240" s="46"/>
      <c r="J240" s="46"/>
      <c r="K240" s="46"/>
      <c r="L240" s="46"/>
      <c r="M240" s="46"/>
      <c r="N240" s="46"/>
      <c r="O240" s="46"/>
    </row>
    <row r="241" ht="15.75" customHeight="1">
      <c r="G241" s="46"/>
      <c r="H241" s="46"/>
      <c r="I241" s="46"/>
      <c r="J241" s="46"/>
      <c r="K241" s="46"/>
      <c r="L241" s="46"/>
      <c r="M241" s="46"/>
      <c r="N241" s="46"/>
      <c r="O241" s="46"/>
    </row>
    <row r="242" ht="15.75" customHeight="1">
      <c r="G242" s="46"/>
      <c r="H242" s="46"/>
      <c r="I242" s="46"/>
      <c r="J242" s="46"/>
      <c r="K242" s="46"/>
      <c r="L242" s="46"/>
      <c r="M242" s="46"/>
      <c r="N242" s="46"/>
      <c r="O242" s="46"/>
    </row>
    <row r="243" ht="15.75" customHeight="1">
      <c r="G243" s="46"/>
      <c r="H243" s="46"/>
      <c r="I243" s="46"/>
      <c r="J243" s="46"/>
      <c r="K243" s="46"/>
      <c r="L243" s="46"/>
      <c r="M243" s="46"/>
      <c r="N243" s="46"/>
      <c r="O243" s="46"/>
    </row>
    <row r="244" ht="15.75" customHeight="1">
      <c r="G244" s="46"/>
      <c r="H244" s="46"/>
      <c r="I244" s="46"/>
      <c r="J244" s="46"/>
      <c r="K244" s="46"/>
      <c r="L244" s="46"/>
      <c r="M244" s="46"/>
      <c r="N244" s="46"/>
      <c r="O244" s="46"/>
    </row>
    <row r="245" ht="15.75" customHeight="1">
      <c r="G245" s="46"/>
      <c r="H245" s="46"/>
      <c r="I245" s="46"/>
      <c r="J245" s="46"/>
      <c r="K245" s="46"/>
      <c r="L245" s="46"/>
      <c r="M245" s="46"/>
      <c r="N245" s="46"/>
      <c r="O245" s="46"/>
    </row>
    <row r="246" ht="15.75" customHeight="1">
      <c r="G246" s="46"/>
      <c r="H246" s="46"/>
      <c r="I246" s="46"/>
      <c r="J246" s="46"/>
      <c r="K246" s="46"/>
      <c r="L246" s="46"/>
      <c r="M246" s="46"/>
      <c r="N246" s="46"/>
      <c r="O246" s="46"/>
    </row>
    <row r="247" ht="15.75" customHeight="1">
      <c r="G247" s="46"/>
      <c r="H247" s="46"/>
      <c r="I247" s="46"/>
      <c r="J247" s="46"/>
      <c r="K247" s="46"/>
      <c r="L247" s="46"/>
      <c r="M247" s="46"/>
      <c r="N247" s="46"/>
      <c r="O247" s="46"/>
    </row>
    <row r="248" ht="15.75" customHeight="1">
      <c r="G248" s="46"/>
      <c r="H248" s="46"/>
      <c r="I248" s="46"/>
      <c r="J248" s="46"/>
      <c r="K248" s="46"/>
      <c r="L248" s="46"/>
      <c r="M248" s="46"/>
      <c r="N248" s="46"/>
      <c r="O248" s="46"/>
    </row>
    <row r="249" ht="15.75" customHeight="1">
      <c r="G249" s="46"/>
      <c r="H249" s="46"/>
      <c r="I249" s="46"/>
      <c r="J249" s="46"/>
      <c r="K249" s="46"/>
      <c r="L249" s="46"/>
      <c r="M249" s="46"/>
      <c r="N249" s="46"/>
      <c r="O249" s="46"/>
    </row>
    <row r="250" ht="15.75" customHeight="1">
      <c r="G250" s="46"/>
      <c r="H250" s="46"/>
      <c r="I250" s="46"/>
      <c r="J250" s="46"/>
      <c r="K250" s="46"/>
      <c r="L250" s="46"/>
      <c r="M250" s="46"/>
      <c r="N250" s="46"/>
      <c r="O250" s="46"/>
    </row>
    <row r="251" ht="15.75" customHeight="1">
      <c r="G251" s="46"/>
      <c r="H251" s="46"/>
      <c r="I251" s="46"/>
      <c r="J251" s="46"/>
      <c r="K251" s="46"/>
      <c r="L251" s="46"/>
      <c r="M251" s="46"/>
      <c r="N251" s="46"/>
      <c r="O251" s="46"/>
    </row>
    <row r="252" ht="15.75" customHeight="1">
      <c r="G252" s="46"/>
      <c r="H252" s="46"/>
      <c r="I252" s="46"/>
      <c r="J252" s="46"/>
      <c r="K252" s="46"/>
      <c r="L252" s="46"/>
      <c r="M252" s="46"/>
      <c r="N252" s="46"/>
      <c r="O252" s="46"/>
    </row>
    <row r="253" ht="15.75" customHeight="1">
      <c r="G253" s="46"/>
      <c r="H253" s="46"/>
      <c r="I253" s="46"/>
      <c r="J253" s="46"/>
      <c r="K253" s="46"/>
      <c r="L253" s="46"/>
      <c r="M253" s="46"/>
      <c r="N253" s="46"/>
      <c r="O253" s="46"/>
    </row>
    <row r="254" ht="15.75" customHeight="1">
      <c r="G254" s="46"/>
      <c r="H254" s="46"/>
      <c r="I254" s="46"/>
      <c r="J254" s="46"/>
      <c r="K254" s="46"/>
      <c r="L254" s="46"/>
      <c r="M254" s="46"/>
      <c r="N254" s="46"/>
      <c r="O254" s="46"/>
    </row>
    <row r="255" ht="15.75" customHeight="1">
      <c r="G255" s="46"/>
      <c r="H255" s="46"/>
      <c r="I255" s="46"/>
      <c r="J255" s="46"/>
      <c r="K255" s="46"/>
      <c r="L255" s="46"/>
      <c r="M255" s="46"/>
      <c r="N255" s="46"/>
      <c r="O255" s="46"/>
    </row>
    <row r="256" ht="15.75" customHeight="1">
      <c r="G256" s="46"/>
      <c r="H256" s="46"/>
      <c r="I256" s="46"/>
      <c r="J256" s="46"/>
      <c r="K256" s="46"/>
      <c r="L256" s="46"/>
      <c r="M256" s="46"/>
      <c r="N256" s="46"/>
      <c r="O256" s="46"/>
    </row>
    <row r="257" ht="15.75" customHeight="1">
      <c r="G257" s="46"/>
      <c r="H257" s="46"/>
      <c r="I257" s="46"/>
      <c r="J257" s="46"/>
      <c r="K257" s="46"/>
      <c r="L257" s="46"/>
      <c r="M257" s="46"/>
      <c r="N257" s="46"/>
      <c r="O257" s="46"/>
    </row>
    <row r="258" ht="15.75" customHeight="1">
      <c r="G258" s="46"/>
      <c r="H258" s="46"/>
      <c r="I258" s="46"/>
      <c r="J258" s="46"/>
      <c r="K258" s="46"/>
      <c r="L258" s="46"/>
      <c r="M258" s="46"/>
      <c r="N258" s="46"/>
      <c r="O258" s="46"/>
    </row>
    <row r="259" ht="15.75" customHeight="1">
      <c r="G259" s="46"/>
      <c r="H259" s="46"/>
      <c r="I259" s="46"/>
      <c r="J259" s="46"/>
      <c r="K259" s="46"/>
      <c r="L259" s="46"/>
      <c r="M259" s="46"/>
      <c r="N259" s="46"/>
      <c r="O259" s="46"/>
    </row>
    <row r="260" ht="15.75" customHeight="1">
      <c r="G260" s="46"/>
      <c r="H260" s="46"/>
      <c r="I260" s="46"/>
      <c r="J260" s="46"/>
      <c r="K260" s="46"/>
      <c r="L260" s="46"/>
      <c r="M260" s="46"/>
      <c r="N260" s="46"/>
      <c r="O260" s="46"/>
    </row>
    <row r="261" ht="15.75" customHeight="1">
      <c r="G261" s="46"/>
      <c r="H261" s="46"/>
      <c r="I261" s="46"/>
      <c r="J261" s="46"/>
      <c r="K261" s="46"/>
      <c r="L261" s="46"/>
      <c r="M261" s="46"/>
      <c r="N261" s="46"/>
      <c r="O261" s="46"/>
    </row>
    <row r="262" ht="15.75" customHeight="1">
      <c r="G262" s="46"/>
      <c r="H262" s="46"/>
      <c r="I262" s="46"/>
      <c r="J262" s="46"/>
      <c r="K262" s="46"/>
      <c r="L262" s="46"/>
      <c r="M262" s="46"/>
      <c r="N262" s="46"/>
      <c r="O262" s="46"/>
    </row>
    <row r="263" ht="15.75" customHeight="1">
      <c r="G263" s="46"/>
      <c r="H263" s="46"/>
      <c r="I263" s="46"/>
      <c r="J263" s="46"/>
      <c r="K263" s="46"/>
      <c r="L263" s="46"/>
      <c r="M263" s="46"/>
      <c r="N263" s="46"/>
      <c r="O263" s="46"/>
    </row>
    <row r="264" ht="15.75" customHeight="1">
      <c r="G264" s="46"/>
      <c r="H264" s="46"/>
      <c r="I264" s="46"/>
      <c r="J264" s="46"/>
      <c r="K264" s="46"/>
      <c r="L264" s="46"/>
      <c r="M264" s="46"/>
      <c r="N264" s="46"/>
      <c r="O264" s="46"/>
    </row>
    <row r="265" ht="15.75" customHeight="1">
      <c r="G265" s="46"/>
      <c r="H265" s="46"/>
      <c r="I265" s="46"/>
      <c r="J265" s="46"/>
      <c r="K265" s="46"/>
      <c r="L265" s="46"/>
      <c r="M265" s="46"/>
      <c r="N265" s="46"/>
      <c r="O265" s="46"/>
    </row>
    <row r="266" ht="15.75" customHeight="1">
      <c r="G266" s="46"/>
      <c r="H266" s="46"/>
      <c r="I266" s="46"/>
      <c r="J266" s="46"/>
      <c r="K266" s="46"/>
      <c r="L266" s="46"/>
      <c r="M266" s="46"/>
      <c r="N266" s="46"/>
      <c r="O266" s="46"/>
    </row>
    <row r="267" ht="15.75" customHeight="1">
      <c r="G267" s="46"/>
      <c r="H267" s="46"/>
      <c r="I267" s="46"/>
      <c r="J267" s="46"/>
      <c r="K267" s="46"/>
      <c r="L267" s="46"/>
      <c r="M267" s="46"/>
      <c r="N267" s="46"/>
      <c r="O267" s="46"/>
    </row>
    <row r="268" ht="15.75" customHeight="1">
      <c r="G268" s="46"/>
      <c r="H268" s="46"/>
      <c r="I268" s="46"/>
      <c r="J268" s="46"/>
      <c r="K268" s="46"/>
      <c r="L268" s="46"/>
      <c r="M268" s="46"/>
      <c r="N268" s="46"/>
      <c r="O268" s="46"/>
    </row>
    <row r="269" ht="15.75" customHeight="1">
      <c r="G269" s="46"/>
      <c r="H269" s="46"/>
      <c r="I269" s="46"/>
      <c r="J269" s="46"/>
      <c r="K269" s="46"/>
      <c r="L269" s="46"/>
      <c r="M269" s="46"/>
      <c r="N269" s="46"/>
      <c r="O269" s="46"/>
    </row>
    <row r="270" ht="15.75" customHeight="1">
      <c r="G270" s="46"/>
      <c r="H270" s="46"/>
      <c r="I270" s="46"/>
      <c r="J270" s="46"/>
      <c r="K270" s="46"/>
      <c r="L270" s="46"/>
      <c r="M270" s="46"/>
      <c r="N270" s="46"/>
      <c r="O270" s="46"/>
    </row>
    <row r="271" ht="15.75" customHeight="1">
      <c r="G271" s="46"/>
      <c r="H271" s="46"/>
      <c r="I271" s="46"/>
      <c r="J271" s="46"/>
      <c r="K271" s="46"/>
      <c r="L271" s="46"/>
      <c r="M271" s="46"/>
      <c r="N271" s="46"/>
      <c r="O271" s="46"/>
    </row>
    <row r="272" ht="15.75" customHeight="1">
      <c r="G272" s="46"/>
      <c r="H272" s="46"/>
      <c r="I272" s="46"/>
      <c r="J272" s="46"/>
      <c r="K272" s="46"/>
      <c r="L272" s="46"/>
      <c r="M272" s="46"/>
      <c r="N272" s="46"/>
      <c r="O272" s="46"/>
    </row>
    <row r="273" ht="15.75" customHeight="1">
      <c r="G273" s="46"/>
      <c r="H273" s="46"/>
      <c r="I273" s="46"/>
      <c r="J273" s="46"/>
      <c r="K273" s="46"/>
      <c r="L273" s="46"/>
      <c r="M273" s="46"/>
      <c r="N273" s="46"/>
      <c r="O273" s="46"/>
    </row>
    <row r="274" ht="15.75" customHeight="1">
      <c r="G274" s="46"/>
      <c r="H274" s="46"/>
      <c r="I274" s="46"/>
      <c r="J274" s="46"/>
      <c r="K274" s="46"/>
      <c r="L274" s="46"/>
      <c r="M274" s="46"/>
      <c r="N274" s="46"/>
      <c r="O274" s="46"/>
    </row>
    <row r="275" ht="15.75" customHeight="1">
      <c r="G275" s="46"/>
      <c r="H275" s="46"/>
      <c r="I275" s="46"/>
      <c r="J275" s="46"/>
      <c r="K275" s="46"/>
      <c r="L275" s="46"/>
      <c r="M275" s="46"/>
      <c r="N275" s="46"/>
      <c r="O275" s="46"/>
    </row>
    <row r="276" ht="15.75" customHeight="1">
      <c r="G276" s="46"/>
      <c r="H276" s="46"/>
      <c r="I276" s="46"/>
      <c r="J276" s="46"/>
      <c r="K276" s="46"/>
      <c r="L276" s="46"/>
      <c r="M276" s="46"/>
      <c r="N276" s="46"/>
      <c r="O276" s="46"/>
    </row>
    <row r="277" ht="15.75" customHeight="1">
      <c r="G277" s="46"/>
      <c r="H277" s="46"/>
      <c r="I277" s="46"/>
      <c r="J277" s="46"/>
      <c r="K277" s="46"/>
      <c r="L277" s="46"/>
      <c r="M277" s="46"/>
      <c r="N277" s="46"/>
      <c r="O277" s="46"/>
    </row>
    <row r="278" ht="15.75" customHeight="1">
      <c r="G278" s="46"/>
      <c r="H278" s="46"/>
      <c r="I278" s="46"/>
      <c r="J278" s="46"/>
      <c r="K278" s="46"/>
      <c r="L278" s="46"/>
      <c r="M278" s="46"/>
      <c r="N278" s="46"/>
      <c r="O278" s="46"/>
    </row>
    <row r="279" ht="15.75" customHeight="1">
      <c r="G279" s="46"/>
      <c r="H279" s="46"/>
      <c r="I279" s="46"/>
      <c r="J279" s="46"/>
      <c r="K279" s="46"/>
      <c r="L279" s="46"/>
      <c r="M279" s="46"/>
      <c r="N279" s="46"/>
      <c r="O279" s="46"/>
    </row>
    <row r="280" ht="15.75" customHeight="1">
      <c r="G280" s="46"/>
      <c r="H280" s="46"/>
      <c r="I280" s="46"/>
      <c r="J280" s="46"/>
      <c r="K280" s="46"/>
      <c r="L280" s="46"/>
      <c r="M280" s="46"/>
      <c r="N280" s="46"/>
      <c r="O280" s="46"/>
    </row>
    <row r="281" ht="15.75" customHeight="1">
      <c r="G281" s="46"/>
      <c r="H281" s="46"/>
      <c r="I281" s="46"/>
      <c r="J281" s="46"/>
      <c r="K281" s="46"/>
      <c r="L281" s="46"/>
      <c r="M281" s="46"/>
      <c r="N281" s="46"/>
      <c r="O281" s="46"/>
    </row>
    <row r="282" ht="15.75" customHeight="1">
      <c r="G282" s="46"/>
      <c r="H282" s="46"/>
      <c r="I282" s="46"/>
      <c r="J282" s="46"/>
      <c r="K282" s="46"/>
      <c r="L282" s="46"/>
      <c r="M282" s="46"/>
      <c r="N282" s="46"/>
      <c r="O282" s="46"/>
    </row>
    <row r="283" ht="15.75" customHeight="1">
      <c r="G283" s="46"/>
      <c r="H283" s="46"/>
      <c r="I283" s="46"/>
      <c r="J283" s="46"/>
      <c r="K283" s="46"/>
      <c r="L283" s="46"/>
      <c r="M283" s="46"/>
      <c r="N283" s="46"/>
      <c r="O283" s="46"/>
    </row>
    <row r="284" ht="15.75" customHeight="1">
      <c r="G284" s="46"/>
      <c r="H284" s="46"/>
      <c r="I284" s="46"/>
      <c r="J284" s="46"/>
      <c r="K284" s="46"/>
      <c r="L284" s="46"/>
      <c r="M284" s="46"/>
      <c r="N284" s="46"/>
      <c r="O284" s="46"/>
    </row>
    <row r="285" ht="15.75" customHeight="1">
      <c r="G285" s="46"/>
      <c r="H285" s="46"/>
      <c r="I285" s="46"/>
      <c r="J285" s="46"/>
      <c r="K285" s="46"/>
      <c r="L285" s="46"/>
      <c r="M285" s="46"/>
      <c r="N285" s="46"/>
      <c r="O285" s="46"/>
    </row>
    <row r="286" ht="15.75" customHeight="1">
      <c r="G286" s="46"/>
      <c r="H286" s="46"/>
      <c r="I286" s="46"/>
      <c r="J286" s="46"/>
      <c r="K286" s="46"/>
      <c r="L286" s="46"/>
      <c r="M286" s="46"/>
      <c r="N286" s="46"/>
      <c r="O286" s="46"/>
    </row>
    <row r="287" ht="15.75" customHeight="1">
      <c r="G287" s="46"/>
      <c r="H287" s="46"/>
      <c r="I287" s="46"/>
      <c r="J287" s="46"/>
      <c r="K287" s="46"/>
      <c r="L287" s="46"/>
      <c r="M287" s="46"/>
      <c r="N287" s="46"/>
      <c r="O287" s="46"/>
    </row>
    <row r="288" ht="15.75" customHeight="1">
      <c r="G288" s="46"/>
      <c r="H288" s="46"/>
      <c r="I288" s="46"/>
      <c r="J288" s="46"/>
      <c r="K288" s="46"/>
      <c r="L288" s="46"/>
      <c r="M288" s="46"/>
      <c r="N288" s="46"/>
      <c r="O288" s="46"/>
    </row>
    <row r="289" ht="15.75" customHeight="1">
      <c r="G289" s="46"/>
      <c r="H289" s="46"/>
      <c r="I289" s="46"/>
      <c r="J289" s="46"/>
      <c r="K289" s="46"/>
      <c r="L289" s="46"/>
      <c r="M289" s="46"/>
      <c r="N289" s="46"/>
      <c r="O289" s="46"/>
    </row>
    <row r="290" ht="15.75" customHeight="1">
      <c r="G290" s="46"/>
      <c r="H290" s="46"/>
      <c r="I290" s="46"/>
      <c r="J290" s="46"/>
      <c r="K290" s="46"/>
      <c r="L290" s="46"/>
      <c r="M290" s="46"/>
      <c r="N290" s="46"/>
      <c r="O290" s="46"/>
    </row>
    <row r="291" ht="15.75" customHeight="1">
      <c r="G291" s="46"/>
      <c r="H291" s="46"/>
      <c r="I291" s="46"/>
      <c r="J291" s="46"/>
      <c r="K291" s="46"/>
      <c r="L291" s="46"/>
      <c r="M291" s="46"/>
      <c r="N291" s="46"/>
      <c r="O291" s="46"/>
    </row>
    <row r="292" ht="15.75" customHeight="1">
      <c r="G292" s="46"/>
      <c r="H292" s="46"/>
      <c r="I292" s="46"/>
      <c r="J292" s="46"/>
      <c r="K292" s="46"/>
      <c r="L292" s="46"/>
      <c r="M292" s="46"/>
      <c r="N292" s="46"/>
      <c r="O292" s="46"/>
    </row>
    <row r="293" ht="15.75" customHeight="1">
      <c r="G293" s="46"/>
      <c r="H293" s="46"/>
      <c r="I293" s="46"/>
      <c r="J293" s="46"/>
      <c r="K293" s="46"/>
      <c r="L293" s="46"/>
      <c r="M293" s="46"/>
      <c r="N293" s="46"/>
      <c r="O293" s="46"/>
    </row>
    <row r="294" ht="15.75" customHeight="1">
      <c r="G294" s="46"/>
      <c r="H294" s="46"/>
      <c r="I294" s="46"/>
      <c r="J294" s="46"/>
      <c r="K294" s="46"/>
      <c r="L294" s="46"/>
      <c r="M294" s="46"/>
      <c r="N294" s="46"/>
      <c r="O294" s="46"/>
    </row>
    <row r="295" ht="15.75" customHeight="1">
      <c r="G295" s="46"/>
      <c r="H295" s="46"/>
      <c r="I295" s="46"/>
      <c r="J295" s="46"/>
      <c r="K295" s="46"/>
      <c r="L295" s="46"/>
      <c r="M295" s="46"/>
      <c r="N295" s="46"/>
      <c r="O295" s="46"/>
    </row>
    <row r="296" ht="15.75" customHeight="1">
      <c r="G296" s="46"/>
      <c r="H296" s="46"/>
      <c r="I296" s="46"/>
      <c r="J296" s="46"/>
      <c r="K296" s="46"/>
      <c r="L296" s="46"/>
      <c r="M296" s="46"/>
      <c r="N296" s="46"/>
      <c r="O296" s="46"/>
    </row>
    <row r="297" ht="15.75" customHeight="1">
      <c r="G297" s="46"/>
      <c r="H297" s="46"/>
      <c r="I297" s="46"/>
      <c r="J297" s="46"/>
      <c r="K297" s="46"/>
      <c r="L297" s="46"/>
      <c r="M297" s="46"/>
      <c r="N297" s="46"/>
      <c r="O297" s="46"/>
    </row>
    <row r="298" ht="15.75" customHeight="1">
      <c r="G298" s="46"/>
      <c r="H298" s="46"/>
      <c r="I298" s="46"/>
      <c r="J298" s="46"/>
      <c r="K298" s="46"/>
      <c r="L298" s="46"/>
      <c r="M298" s="46"/>
      <c r="N298" s="46"/>
      <c r="O298" s="46"/>
    </row>
    <row r="299" ht="15.75" customHeight="1">
      <c r="G299" s="46"/>
      <c r="H299" s="46"/>
      <c r="I299" s="46"/>
      <c r="J299" s="46"/>
      <c r="K299" s="46"/>
      <c r="L299" s="46"/>
      <c r="M299" s="46"/>
      <c r="N299" s="46"/>
      <c r="O299" s="46"/>
    </row>
    <row r="300" ht="15.75" customHeight="1">
      <c r="G300" s="46"/>
      <c r="H300" s="46"/>
      <c r="I300" s="46"/>
      <c r="J300" s="46"/>
      <c r="K300" s="46"/>
      <c r="L300" s="46"/>
      <c r="M300" s="46"/>
      <c r="N300" s="46"/>
      <c r="O300" s="46"/>
    </row>
    <row r="301" ht="15.75" customHeight="1">
      <c r="G301" s="46"/>
      <c r="H301" s="46"/>
      <c r="I301" s="46"/>
      <c r="J301" s="46"/>
      <c r="K301" s="46"/>
      <c r="L301" s="46"/>
      <c r="M301" s="46"/>
      <c r="N301" s="46"/>
      <c r="O301" s="46"/>
    </row>
    <row r="302" ht="15.75" customHeight="1">
      <c r="G302" s="46"/>
      <c r="H302" s="46"/>
      <c r="I302" s="46"/>
      <c r="J302" s="46"/>
      <c r="K302" s="46"/>
      <c r="L302" s="46"/>
      <c r="M302" s="46"/>
      <c r="N302" s="46"/>
      <c r="O302" s="46"/>
    </row>
    <row r="303" ht="15.75" customHeight="1">
      <c r="G303" s="46"/>
      <c r="H303" s="46"/>
      <c r="I303" s="46"/>
      <c r="J303" s="46"/>
      <c r="K303" s="46"/>
      <c r="L303" s="46"/>
      <c r="M303" s="46"/>
      <c r="N303" s="46"/>
      <c r="O303" s="46"/>
    </row>
    <row r="304" ht="15.75" customHeight="1">
      <c r="G304" s="46"/>
      <c r="H304" s="46"/>
      <c r="I304" s="46"/>
      <c r="J304" s="46"/>
      <c r="K304" s="46"/>
      <c r="L304" s="46"/>
      <c r="M304" s="46"/>
      <c r="N304" s="46"/>
      <c r="O304" s="46"/>
    </row>
    <row r="305" ht="15.75" customHeight="1">
      <c r="G305" s="46"/>
      <c r="H305" s="46"/>
      <c r="I305" s="46"/>
      <c r="J305" s="46"/>
      <c r="K305" s="46"/>
      <c r="L305" s="46"/>
      <c r="M305" s="46"/>
      <c r="N305" s="46"/>
      <c r="O305" s="46"/>
    </row>
    <row r="306" ht="15.75" customHeight="1">
      <c r="G306" s="46"/>
      <c r="H306" s="46"/>
      <c r="I306" s="46"/>
      <c r="J306" s="46"/>
      <c r="K306" s="46"/>
      <c r="L306" s="46"/>
      <c r="M306" s="46"/>
      <c r="N306" s="46"/>
      <c r="O306" s="46"/>
    </row>
    <row r="307" ht="15.75" customHeight="1">
      <c r="G307" s="46"/>
      <c r="H307" s="46"/>
      <c r="I307" s="46"/>
      <c r="J307" s="46"/>
      <c r="K307" s="46"/>
      <c r="L307" s="46"/>
      <c r="M307" s="46"/>
      <c r="N307" s="46"/>
      <c r="O307" s="46"/>
    </row>
    <row r="308" ht="15.75" customHeight="1">
      <c r="G308" s="46"/>
      <c r="H308" s="46"/>
      <c r="I308" s="46"/>
      <c r="J308" s="46"/>
      <c r="K308" s="46"/>
      <c r="L308" s="46"/>
      <c r="M308" s="46"/>
      <c r="N308" s="46"/>
      <c r="O308" s="46"/>
    </row>
    <row r="309" ht="15.75" customHeight="1">
      <c r="G309" s="46"/>
      <c r="H309" s="46"/>
      <c r="I309" s="46"/>
      <c r="J309" s="46"/>
      <c r="K309" s="46"/>
      <c r="L309" s="46"/>
      <c r="M309" s="46"/>
      <c r="N309" s="46"/>
      <c r="O309" s="46"/>
    </row>
    <row r="310" ht="15.75" customHeight="1">
      <c r="G310" s="46"/>
      <c r="H310" s="46"/>
      <c r="I310" s="46"/>
      <c r="J310" s="46"/>
      <c r="K310" s="46"/>
      <c r="L310" s="46"/>
      <c r="M310" s="46"/>
      <c r="N310" s="46"/>
      <c r="O310" s="46"/>
    </row>
    <row r="311" ht="15.75" customHeight="1">
      <c r="G311" s="46"/>
      <c r="H311" s="46"/>
      <c r="I311" s="46"/>
      <c r="J311" s="46"/>
      <c r="K311" s="46"/>
      <c r="L311" s="46"/>
      <c r="M311" s="46"/>
      <c r="N311" s="46"/>
      <c r="O311" s="46"/>
    </row>
    <row r="312" ht="15.75" customHeight="1">
      <c r="G312" s="46"/>
      <c r="H312" s="46"/>
      <c r="I312" s="46"/>
      <c r="J312" s="46"/>
      <c r="K312" s="46"/>
      <c r="L312" s="46"/>
      <c r="M312" s="46"/>
      <c r="N312" s="46"/>
      <c r="O312" s="46"/>
    </row>
    <row r="313" ht="15.75" customHeight="1">
      <c r="G313" s="46"/>
      <c r="H313" s="46"/>
      <c r="I313" s="46"/>
      <c r="J313" s="46"/>
      <c r="K313" s="46"/>
      <c r="L313" s="46"/>
      <c r="M313" s="46"/>
      <c r="N313" s="46"/>
      <c r="O313" s="46"/>
    </row>
    <row r="314" ht="15.75" customHeight="1">
      <c r="G314" s="46"/>
      <c r="H314" s="46"/>
      <c r="I314" s="46"/>
      <c r="J314" s="46"/>
      <c r="K314" s="46"/>
      <c r="L314" s="46"/>
      <c r="M314" s="46"/>
      <c r="N314" s="46"/>
      <c r="O314" s="46"/>
    </row>
    <row r="315" ht="15.75" customHeight="1">
      <c r="G315" s="46"/>
      <c r="H315" s="46"/>
      <c r="I315" s="46"/>
      <c r="J315" s="46"/>
      <c r="K315" s="46"/>
      <c r="L315" s="46"/>
      <c r="M315" s="46"/>
      <c r="N315" s="46"/>
      <c r="O315" s="46"/>
    </row>
    <row r="316" ht="15.75" customHeight="1">
      <c r="G316" s="46"/>
      <c r="H316" s="46"/>
      <c r="I316" s="46"/>
      <c r="J316" s="46"/>
      <c r="K316" s="46"/>
      <c r="L316" s="46"/>
      <c r="M316" s="46"/>
      <c r="N316" s="46"/>
      <c r="O316" s="46"/>
    </row>
    <row r="317" ht="15.75" customHeight="1">
      <c r="G317" s="46"/>
      <c r="H317" s="46"/>
      <c r="I317" s="46"/>
      <c r="J317" s="46"/>
      <c r="K317" s="46"/>
      <c r="L317" s="46"/>
      <c r="M317" s="46"/>
      <c r="N317" s="46"/>
      <c r="O317" s="46"/>
    </row>
    <row r="318" ht="15.75" customHeight="1">
      <c r="G318" s="46"/>
      <c r="H318" s="46"/>
      <c r="I318" s="46"/>
      <c r="J318" s="46"/>
      <c r="K318" s="46"/>
      <c r="L318" s="46"/>
      <c r="M318" s="46"/>
      <c r="N318" s="46"/>
      <c r="O318" s="46"/>
    </row>
    <row r="319" ht="15.75" customHeight="1">
      <c r="G319" s="46"/>
      <c r="H319" s="46"/>
      <c r="I319" s="46"/>
      <c r="J319" s="46"/>
      <c r="K319" s="46"/>
      <c r="L319" s="46"/>
      <c r="M319" s="46"/>
      <c r="N319" s="46"/>
      <c r="O319" s="46"/>
    </row>
    <row r="320" ht="15.75" customHeight="1">
      <c r="G320" s="46"/>
      <c r="H320" s="46"/>
      <c r="I320" s="46"/>
      <c r="J320" s="46"/>
      <c r="K320" s="46"/>
      <c r="L320" s="46"/>
      <c r="M320" s="46"/>
      <c r="N320" s="46"/>
      <c r="O320" s="46"/>
    </row>
    <row r="321" ht="15.75" customHeight="1">
      <c r="G321" s="46"/>
      <c r="H321" s="46"/>
      <c r="I321" s="46"/>
      <c r="J321" s="46"/>
      <c r="K321" s="46"/>
      <c r="L321" s="46"/>
      <c r="M321" s="46"/>
      <c r="N321" s="46"/>
      <c r="O321" s="46"/>
    </row>
    <row r="322" ht="15.75" customHeight="1">
      <c r="G322" s="46"/>
      <c r="H322" s="46"/>
      <c r="I322" s="46"/>
      <c r="J322" s="46"/>
      <c r="K322" s="46"/>
      <c r="L322" s="46"/>
      <c r="M322" s="46"/>
      <c r="N322" s="46"/>
      <c r="O322" s="46"/>
    </row>
    <row r="323" ht="15.75" customHeight="1">
      <c r="G323" s="46"/>
      <c r="H323" s="46"/>
      <c r="I323" s="46"/>
      <c r="J323" s="46"/>
      <c r="K323" s="46"/>
      <c r="L323" s="46"/>
      <c r="M323" s="46"/>
      <c r="N323" s="46"/>
      <c r="O323" s="46"/>
    </row>
    <row r="324" ht="15.75" customHeight="1">
      <c r="G324" s="46"/>
      <c r="H324" s="46"/>
      <c r="I324" s="46"/>
      <c r="J324" s="46"/>
      <c r="K324" s="46"/>
      <c r="L324" s="46"/>
      <c r="M324" s="46"/>
      <c r="N324" s="46"/>
      <c r="O324" s="46"/>
    </row>
    <row r="325" ht="15.75" customHeight="1">
      <c r="G325" s="46"/>
      <c r="H325" s="46"/>
      <c r="I325" s="46"/>
      <c r="J325" s="46"/>
      <c r="K325" s="46"/>
      <c r="L325" s="46"/>
      <c r="M325" s="46"/>
      <c r="N325" s="46"/>
      <c r="O325" s="46"/>
    </row>
    <row r="326" ht="15.75" customHeight="1">
      <c r="G326" s="46"/>
      <c r="H326" s="46"/>
      <c r="I326" s="46"/>
      <c r="J326" s="46"/>
      <c r="K326" s="46"/>
      <c r="L326" s="46"/>
      <c r="M326" s="46"/>
      <c r="N326" s="46"/>
      <c r="O326" s="46"/>
    </row>
    <row r="327" ht="15.75" customHeight="1">
      <c r="G327" s="46"/>
      <c r="H327" s="46"/>
      <c r="I327" s="46"/>
      <c r="J327" s="46"/>
      <c r="K327" s="46"/>
      <c r="L327" s="46"/>
      <c r="M327" s="46"/>
      <c r="N327" s="46"/>
      <c r="O327" s="46"/>
    </row>
    <row r="328" ht="15.75" customHeight="1">
      <c r="G328" s="46"/>
      <c r="H328" s="46"/>
      <c r="I328" s="46"/>
      <c r="J328" s="46"/>
      <c r="K328" s="46"/>
      <c r="L328" s="46"/>
      <c r="M328" s="46"/>
      <c r="N328" s="46"/>
      <c r="O328" s="46"/>
    </row>
    <row r="329" ht="15.75" customHeight="1">
      <c r="G329" s="46"/>
      <c r="H329" s="46"/>
      <c r="I329" s="46"/>
      <c r="J329" s="46"/>
      <c r="K329" s="46"/>
      <c r="L329" s="46"/>
      <c r="M329" s="46"/>
      <c r="N329" s="46"/>
      <c r="O329" s="46"/>
    </row>
    <row r="330" ht="15.75" customHeight="1">
      <c r="G330" s="46"/>
      <c r="H330" s="46"/>
      <c r="I330" s="46"/>
      <c r="J330" s="46"/>
      <c r="K330" s="46"/>
      <c r="L330" s="46"/>
      <c r="M330" s="46"/>
      <c r="N330" s="46"/>
      <c r="O330" s="46"/>
    </row>
    <row r="331" ht="15.75" customHeight="1">
      <c r="G331" s="46"/>
      <c r="H331" s="46"/>
      <c r="I331" s="46"/>
      <c r="J331" s="46"/>
      <c r="K331" s="46"/>
      <c r="L331" s="46"/>
      <c r="M331" s="46"/>
      <c r="N331" s="46"/>
      <c r="O331" s="46"/>
    </row>
    <row r="332" ht="15.75" customHeight="1">
      <c r="G332" s="46"/>
      <c r="H332" s="46"/>
      <c r="I332" s="46"/>
      <c r="J332" s="46"/>
      <c r="K332" s="46"/>
      <c r="L332" s="46"/>
      <c r="M332" s="46"/>
      <c r="N332" s="46"/>
      <c r="O332" s="46"/>
    </row>
    <row r="333" ht="15.75" customHeight="1">
      <c r="G333" s="46"/>
      <c r="H333" s="46"/>
      <c r="I333" s="46"/>
      <c r="J333" s="46"/>
      <c r="K333" s="46"/>
      <c r="L333" s="46"/>
      <c r="M333" s="46"/>
      <c r="N333" s="46"/>
      <c r="O333" s="46"/>
    </row>
    <row r="334" ht="15.75" customHeight="1">
      <c r="G334" s="46"/>
      <c r="H334" s="46"/>
      <c r="I334" s="46"/>
      <c r="J334" s="46"/>
      <c r="K334" s="46"/>
      <c r="L334" s="46"/>
      <c r="M334" s="46"/>
      <c r="N334" s="46"/>
      <c r="O334" s="46"/>
    </row>
    <row r="335" ht="15.75" customHeight="1">
      <c r="G335" s="46"/>
      <c r="H335" s="46"/>
      <c r="I335" s="46"/>
      <c r="J335" s="46"/>
      <c r="K335" s="46"/>
      <c r="L335" s="46"/>
      <c r="M335" s="46"/>
      <c r="N335" s="46"/>
      <c r="O335" s="46"/>
    </row>
    <row r="336" ht="15.75" customHeight="1">
      <c r="G336" s="46"/>
      <c r="H336" s="46"/>
      <c r="I336" s="46"/>
      <c r="J336" s="46"/>
      <c r="K336" s="46"/>
      <c r="L336" s="46"/>
      <c r="M336" s="46"/>
      <c r="N336" s="46"/>
      <c r="O336" s="46"/>
    </row>
    <row r="337" ht="15.75" customHeight="1">
      <c r="G337" s="46"/>
      <c r="H337" s="46"/>
      <c r="I337" s="46"/>
      <c r="J337" s="46"/>
      <c r="K337" s="46"/>
      <c r="L337" s="46"/>
      <c r="M337" s="46"/>
      <c r="N337" s="46"/>
      <c r="O337" s="46"/>
    </row>
    <row r="338" ht="15.75" customHeight="1">
      <c r="G338" s="46"/>
      <c r="H338" s="46"/>
      <c r="I338" s="46"/>
      <c r="J338" s="46"/>
      <c r="K338" s="46"/>
      <c r="L338" s="46"/>
      <c r="M338" s="46"/>
      <c r="N338" s="46"/>
      <c r="O338" s="46"/>
    </row>
    <row r="339" ht="15.75" customHeight="1">
      <c r="G339" s="46"/>
      <c r="H339" s="46"/>
      <c r="I339" s="46"/>
      <c r="J339" s="46"/>
      <c r="K339" s="46"/>
      <c r="L339" s="46"/>
      <c r="M339" s="46"/>
      <c r="N339" s="46"/>
      <c r="O339" s="46"/>
    </row>
    <row r="340" ht="15.75" customHeight="1">
      <c r="G340" s="46"/>
      <c r="H340" s="46"/>
      <c r="I340" s="46"/>
      <c r="J340" s="46"/>
      <c r="K340" s="46"/>
      <c r="L340" s="46"/>
      <c r="M340" s="46"/>
      <c r="N340" s="46"/>
      <c r="O340" s="46"/>
    </row>
    <row r="341" ht="15.75" customHeight="1">
      <c r="G341" s="46"/>
      <c r="H341" s="46"/>
      <c r="I341" s="46"/>
      <c r="J341" s="46"/>
      <c r="K341" s="46"/>
      <c r="L341" s="46"/>
      <c r="M341" s="46"/>
      <c r="N341" s="46"/>
      <c r="O341" s="46"/>
    </row>
    <row r="342" ht="15.75" customHeight="1">
      <c r="G342" s="46"/>
      <c r="H342" s="46"/>
      <c r="I342" s="46"/>
      <c r="J342" s="46"/>
      <c r="K342" s="46"/>
      <c r="L342" s="46"/>
      <c r="M342" s="46"/>
      <c r="N342" s="46"/>
      <c r="O342" s="46"/>
    </row>
    <row r="343" ht="15.75" customHeight="1">
      <c r="G343" s="46"/>
      <c r="H343" s="46"/>
      <c r="I343" s="46"/>
      <c r="J343" s="46"/>
      <c r="K343" s="46"/>
      <c r="L343" s="46"/>
      <c r="M343" s="46"/>
      <c r="N343" s="46"/>
      <c r="O343" s="46"/>
    </row>
    <row r="344" ht="15.75" customHeight="1">
      <c r="G344" s="46"/>
      <c r="H344" s="46"/>
      <c r="I344" s="46"/>
      <c r="J344" s="46"/>
      <c r="K344" s="46"/>
      <c r="L344" s="46"/>
      <c r="M344" s="46"/>
      <c r="N344" s="46"/>
      <c r="O344" s="46"/>
    </row>
    <row r="345" ht="15.75" customHeight="1">
      <c r="G345" s="46"/>
      <c r="H345" s="46"/>
      <c r="I345" s="46"/>
      <c r="J345" s="46"/>
      <c r="K345" s="46"/>
      <c r="L345" s="46"/>
      <c r="M345" s="46"/>
      <c r="N345" s="46"/>
      <c r="O345" s="46"/>
    </row>
    <row r="346" ht="15.75" customHeight="1">
      <c r="G346" s="46"/>
      <c r="H346" s="46"/>
      <c r="I346" s="46"/>
      <c r="J346" s="46"/>
      <c r="K346" s="46"/>
      <c r="L346" s="46"/>
      <c r="M346" s="46"/>
      <c r="N346" s="46"/>
      <c r="O346" s="46"/>
    </row>
    <row r="347" ht="15.75" customHeight="1">
      <c r="G347" s="46"/>
      <c r="H347" s="46"/>
      <c r="I347" s="46"/>
      <c r="J347" s="46"/>
      <c r="K347" s="46"/>
      <c r="L347" s="46"/>
      <c r="M347" s="46"/>
      <c r="N347" s="46"/>
      <c r="O347" s="46"/>
    </row>
    <row r="348" ht="15.75" customHeight="1">
      <c r="G348" s="46"/>
      <c r="H348" s="46"/>
      <c r="I348" s="46"/>
      <c r="J348" s="46"/>
      <c r="K348" s="46"/>
      <c r="L348" s="46"/>
      <c r="M348" s="46"/>
      <c r="N348" s="46"/>
      <c r="O348" s="46"/>
    </row>
    <row r="349" ht="15.75" customHeight="1">
      <c r="G349" s="46"/>
      <c r="H349" s="46"/>
      <c r="I349" s="46"/>
      <c r="J349" s="46"/>
      <c r="K349" s="46"/>
      <c r="L349" s="46"/>
      <c r="M349" s="46"/>
      <c r="N349" s="46"/>
      <c r="O349" s="46"/>
    </row>
    <row r="350" ht="15.75" customHeight="1">
      <c r="G350" s="46"/>
      <c r="H350" s="46"/>
      <c r="I350" s="46"/>
      <c r="J350" s="46"/>
      <c r="K350" s="46"/>
      <c r="L350" s="46"/>
      <c r="M350" s="46"/>
      <c r="N350" s="46"/>
      <c r="O350" s="46"/>
    </row>
    <row r="351" ht="15.75" customHeight="1">
      <c r="G351" s="46"/>
      <c r="H351" s="46"/>
      <c r="I351" s="46"/>
      <c r="J351" s="46"/>
      <c r="K351" s="46"/>
      <c r="L351" s="46"/>
      <c r="M351" s="46"/>
      <c r="N351" s="46"/>
      <c r="O351" s="46"/>
    </row>
    <row r="352" ht="15.75" customHeight="1">
      <c r="G352" s="46"/>
      <c r="H352" s="46"/>
      <c r="I352" s="46"/>
      <c r="J352" s="46"/>
      <c r="K352" s="46"/>
      <c r="L352" s="46"/>
      <c r="M352" s="46"/>
      <c r="N352" s="46"/>
      <c r="O352" s="46"/>
    </row>
    <row r="353" ht="15.75" customHeight="1">
      <c r="G353" s="46"/>
      <c r="H353" s="46"/>
      <c r="I353" s="46"/>
      <c r="J353" s="46"/>
      <c r="K353" s="46"/>
      <c r="L353" s="46"/>
      <c r="M353" s="46"/>
      <c r="N353" s="46"/>
      <c r="O353" s="46"/>
    </row>
    <row r="354" ht="15.75" customHeight="1">
      <c r="G354" s="46"/>
      <c r="H354" s="46"/>
      <c r="I354" s="46"/>
      <c r="J354" s="46"/>
      <c r="K354" s="46"/>
      <c r="L354" s="46"/>
      <c r="M354" s="46"/>
      <c r="N354" s="46"/>
      <c r="O354" s="46"/>
    </row>
    <row r="355" ht="15.75" customHeight="1">
      <c r="G355" s="46"/>
      <c r="H355" s="46"/>
      <c r="I355" s="46"/>
      <c r="J355" s="46"/>
      <c r="K355" s="46"/>
      <c r="L355" s="46"/>
      <c r="M355" s="46"/>
      <c r="N355" s="46"/>
      <c r="O355" s="46"/>
    </row>
    <row r="356" ht="15.75" customHeight="1">
      <c r="G356" s="46"/>
      <c r="H356" s="46"/>
      <c r="I356" s="46"/>
      <c r="J356" s="46"/>
      <c r="K356" s="46"/>
      <c r="L356" s="46"/>
      <c r="M356" s="46"/>
      <c r="N356" s="46"/>
      <c r="O356" s="46"/>
    </row>
    <row r="357" ht="15.75" customHeight="1">
      <c r="G357" s="46"/>
      <c r="H357" s="46"/>
      <c r="I357" s="46"/>
      <c r="J357" s="46"/>
      <c r="K357" s="46"/>
      <c r="L357" s="46"/>
      <c r="M357" s="46"/>
      <c r="N357" s="46"/>
      <c r="O357" s="46"/>
    </row>
    <row r="358" ht="15.75" customHeight="1">
      <c r="G358" s="46"/>
      <c r="H358" s="46"/>
      <c r="I358" s="46"/>
      <c r="J358" s="46"/>
      <c r="K358" s="46"/>
      <c r="L358" s="46"/>
      <c r="M358" s="46"/>
      <c r="N358" s="46"/>
      <c r="O358" s="46"/>
    </row>
    <row r="359" ht="15.75" customHeight="1">
      <c r="G359" s="46"/>
      <c r="H359" s="46"/>
      <c r="I359" s="46"/>
      <c r="J359" s="46"/>
      <c r="K359" s="46"/>
      <c r="L359" s="46"/>
      <c r="M359" s="46"/>
      <c r="N359" s="46"/>
      <c r="O359" s="46"/>
    </row>
    <row r="360" ht="15.75" customHeight="1">
      <c r="G360" s="46"/>
      <c r="H360" s="46"/>
      <c r="I360" s="46"/>
      <c r="J360" s="46"/>
      <c r="K360" s="46"/>
      <c r="L360" s="46"/>
      <c r="M360" s="46"/>
      <c r="N360" s="46"/>
      <c r="O360" s="46"/>
    </row>
    <row r="361" ht="15.75" customHeight="1">
      <c r="G361" s="46"/>
      <c r="H361" s="46"/>
      <c r="I361" s="46"/>
      <c r="J361" s="46"/>
      <c r="K361" s="46"/>
      <c r="L361" s="46"/>
      <c r="M361" s="46"/>
      <c r="N361" s="46"/>
      <c r="O361" s="46"/>
    </row>
    <row r="362" ht="15.75" customHeight="1">
      <c r="G362" s="46"/>
      <c r="H362" s="46"/>
      <c r="I362" s="46"/>
      <c r="J362" s="46"/>
      <c r="K362" s="46"/>
      <c r="L362" s="46"/>
      <c r="M362" s="46"/>
      <c r="N362" s="46"/>
      <c r="O362" s="46"/>
    </row>
    <row r="363" ht="15.75" customHeight="1">
      <c r="G363" s="46"/>
      <c r="H363" s="46"/>
      <c r="I363" s="46"/>
      <c r="J363" s="46"/>
      <c r="K363" s="46"/>
      <c r="L363" s="46"/>
      <c r="M363" s="46"/>
      <c r="N363" s="46"/>
      <c r="O363" s="46"/>
    </row>
    <row r="364" ht="15.75" customHeight="1">
      <c r="G364" s="46"/>
      <c r="H364" s="46"/>
      <c r="I364" s="46"/>
      <c r="J364" s="46"/>
      <c r="K364" s="46"/>
      <c r="L364" s="46"/>
      <c r="M364" s="46"/>
      <c r="N364" s="46"/>
      <c r="O364" s="46"/>
    </row>
    <row r="365" ht="15.75" customHeight="1">
      <c r="G365" s="46"/>
      <c r="H365" s="46"/>
      <c r="I365" s="46"/>
      <c r="J365" s="46"/>
      <c r="K365" s="46"/>
      <c r="L365" s="46"/>
      <c r="M365" s="46"/>
      <c r="N365" s="46"/>
      <c r="O365" s="46"/>
    </row>
    <row r="366" ht="15.75" customHeight="1">
      <c r="G366" s="46"/>
      <c r="H366" s="46"/>
      <c r="I366" s="46"/>
      <c r="J366" s="46"/>
      <c r="K366" s="46"/>
      <c r="L366" s="46"/>
      <c r="M366" s="46"/>
      <c r="N366" s="46"/>
      <c r="O366" s="46"/>
    </row>
    <row r="367" ht="15.75" customHeight="1">
      <c r="G367" s="46"/>
      <c r="H367" s="46"/>
      <c r="I367" s="46"/>
      <c r="J367" s="46"/>
      <c r="K367" s="46"/>
      <c r="L367" s="46"/>
      <c r="M367" s="46"/>
      <c r="N367" s="46"/>
      <c r="O367" s="46"/>
    </row>
    <row r="368" ht="15.75" customHeight="1">
      <c r="G368" s="46"/>
      <c r="H368" s="46"/>
      <c r="I368" s="46"/>
      <c r="J368" s="46"/>
      <c r="K368" s="46"/>
      <c r="L368" s="46"/>
      <c r="M368" s="46"/>
      <c r="N368" s="46"/>
      <c r="O368" s="46"/>
    </row>
    <row r="369" ht="15.75" customHeight="1">
      <c r="G369" s="46"/>
      <c r="H369" s="46"/>
      <c r="I369" s="46"/>
      <c r="J369" s="46"/>
      <c r="K369" s="46"/>
      <c r="L369" s="46"/>
      <c r="M369" s="46"/>
      <c r="N369" s="46"/>
      <c r="O369" s="46"/>
    </row>
    <row r="370" ht="15.75" customHeight="1">
      <c r="G370" s="46"/>
      <c r="H370" s="46"/>
      <c r="I370" s="46"/>
      <c r="J370" s="46"/>
      <c r="K370" s="46"/>
      <c r="L370" s="46"/>
      <c r="M370" s="46"/>
      <c r="N370" s="46"/>
      <c r="O370" s="46"/>
    </row>
    <row r="371" ht="15.75" customHeight="1">
      <c r="G371" s="46"/>
      <c r="H371" s="46"/>
      <c r="I371" s="46"/>
      <c r="J371" s="46"/>
      <c r="K371" s="46"/>
      <c r="L371" s="46"/>
      <c r="M371" s="46"/>
      <c r="N371" s="46"/>
      <c r="O371" s="46"/>
    </row>
    <row r="372" ht="15.75" customHeight="1">
      <c r="G372" s="46"/>
      <c r="H372" s="46"/>
      <c r="I372" s="46"/>
      <c r="J372" s="46"/>
      <c r="K372" s="46"/>
      <c r="L372" s="46"/>
      <c r="M372" s="46"/>
      <c r="N372" s="46"/>
      <c r="O372" s="46"/>
    </row>
    <row r="373" ht="15.75" customHeight="1">
      <c r="G373" s="46"/>
      <c r="H373" s="46"/>
      <c r="I373" s="46"/>
      <c r="J373" s="46"/>
      <c r="K373" s="46"/>
      <c r="L373" s="46"/>
      <c r="M373" s="46"/>
      <c r="N373" s="46"/>
      <c r="O373" s="46"/>
    </row>
    <row r="374" ht="15.75" customHeight="1">
      <c r="G374" s="46"/>
      <c r="H374" s="46"/>
      <c r="I374" s="46"/>
      <c r="J374" s="46"/>
      <c r="K374" s="46"/>
      <c r="L374" s="46"/>
      <c r="M374" s="46"/>
      <c r="N374" s="46"/>
      <c r="O374" s="46"/>
    </row>
    <row r="375" ht="15.75" customHeight="1">
      <c r="G375" s="46"/>
      <c r="H375" s="46"/>
      <c r="I375" s="46"/>
      <c r="J375" s="46"/>
      <c r="K375" s="46"/>
      <c r="L375" s="46"/>
      <c r="M375" s="46"/>
      <c r="N375" s="46"/>
      <c r="O375" s="46"/>
    </row>
    <row r="376" ht="15.75" customHeight="1">
      <c r="G376" s="46"/>
      <c r="H376" s="46"/>
      <c r="I376" s="46"/>
      <c r="J376" s="46"/>
      <c r="K376" s="46"/>
      <c r="L376" s="46"/>
      <c r="M376" s="46"/>
      <c r="N376" s="46"/>
      <c r="O376" s="46"/>
    </row>
    <row r="377" ht="15.75" customHeight="1">
      <c r="G377" s="46"/>
      <c r="H377" s="46"/>
      <c r="I377" s="46"/>
      <c r="J377" s="46"/>
      <c r="K377" s="46"/>
      <c r="L377" s="46"/>
      <c r="M377" s="46"/>
      <c r="N377" s="46"/>
      <c r="O377" s="46"/>
    </row>
    <row r="378" ht="15.75" customHeight="1">
      <c r="G378" s="46"/>
      <c r="H378" s="46"/>
      <c r="I378" s="46"/>
      <c r="J378" s="46"/>
      <c r="K378" s="46"/>
      <c r="L378" s="46"/>
      <c r="M378" s="46"/>
      <c r="N378" s="46"/>
      <c r="O378" s="46"/>
    </row>
    <row r="379" ht="15.75" customHeight="1">
      <c r="G379" s="46"/>
      <c r="H379" s="46"/>
      <c r="I379" s="46"/>
      <c r="J379" s="46"/>
      <c r="K379" s="46"/>
      <c r="L379" s="46"/>
      <c r="M379" s="46"/>
      <c r="N379" s="46"/>
      <c r="O379" s="46"/>
    </row>
    <row r="380" ht="15.75" customHeight="1">
      <c r="G380" s="46"/>
      <c r="H380" s="46"/>
      <c r="I380" s="46"/>
      <c r="J380" s="46"/>
      <c r="K380" s="46"/>
      <c r="L380" s="46"/>
      <c r="M380" s="46"/>
      <c r="N380" s="46"/>
      <c r="O380" s="46"/>
    </row>
    <row r="381" ht="15.75" customHeight="1">
      <c r="G381" s="46"/>
      <c r="H381" s="46"/>
      <c r="I381" s="46"/>
      <c r="J381" s="46"/>
      <c r="K381" s="46"/>
      <c r="L381" s="46"/>
      <c r="M381" s="46"/>
      <c r="N381" s="46"/>
      <c r="O381" s="46"/>
    </row>
    <row r="382" ht="15.75" customHeight="1">
      <c r="G382" s="46"/>
      <c r="H382" s="46"/>
      <c r="I382" s="46"/>
      <c r="J382" s="46"/>
      <c r="K382" s="46"/>
      <c r="L382" s="46"/>
      <c r="M382" s="46"/>
      <c r="N382" s="46"/>
      <c r="O382" s="46"/>
    </row>
    <row r="383" ht="15.75" customHeight="1">
      <c r="G383" s="46"/>
      <c r="H383" s="46"/>
      <c r="I383" s="46"/>
      <c r="J383" s="46"/>
      <c r="K383" s="46"/>
      <c r="L383" s="46"/>
      <c r="M383" s="46"/>
      <c r="N383" s="46"/>
      <c r="O383" s="46"/>
    </row>
    <row r="384" ht="15.75" customHeight="1">
      <c r="G384" s="46"/>
      <c r="H384" s="46"/>
      <c r="I384" s="46"/>
      <c r="J384" s="46"/>
      <c r="K384" s="46"/>
      <c r="L384" s="46"/>
      <c r="M384" s="46"/>
      <c r="N384" s="46"/>
      <c r="O384" s="46"/>
    </row>
    <row r="385" ht="15.75" customHeight="1">
      <c r="G385" s="46"/>
      <c r="H385" s="46"/>
      <c r="I385" s="46"/>
      <c r="J385" s="46"/>
      <c r="K385" s="46"/>
      <c r="L385" s="46"/>
      <c r="M385" s="46"/>
      <c r="N385" s="46"/>
      <c r="O385" s="46"/>
    </row>
    <row r="386" ht="15.75" customHeight="1">
      <c r="G386" s="46"/>
      <c r="H386" s="46"/>
      <c r="I386" s="46"/>
      <c r="J386" s="46"/>
      <c r="K386" s="46"/>
      <c r="L386" s="46"/>
      <c r="M386" s="46"/>
      <c r="N386" s="46"/>
      <c r="O386" s="46"/>
    </row>
    <row r="387" ht="15.75" customHeight="1">
      <c r="G387" s="46"/>
      <c r="H387" s="46"/>
      <c r="I387" s="46"/>
      <c r="J387" s="46"/>
      <c r="K387" s="46"/>
      <c r="L387" s="46"/>
      <c r="M387" s="46"/>
      <c r="N387" s="46"/>
      <c r="O387" s="46"/>
    </row>
    <row r="388" ht="15.75" customHeight="1">
      <c r="G388" s="46"/>
      <c r="H388" s="46"/>
      <c r="I388" s="46"/>
      <c r="J388" s="46"/>
      <c r="K388" s="46"/>
      <c r="L388" s="46"/>
      <c r="M388" s="46"/>
      <c r="N388" s="46"/>
      <c r="O388" s="46"/>
    </row>
    <row r="389" ht="15.75" customHeight="1">
      <c r="G389" s="46"/>
      <c r="H389" s="46"/>
      <c r="I389" s="46"/>
      <c r="J389" s="46"/>
      <c r="K389" s="46"/>
      <c r="L389" s="46"/>
      <c r="M389" s="46"/>
      <c r="N389" s="46"/>
      <c r="O389" s="46"/>
    </row>
    <row r="390" ht="15.75" customHeight="1">
      <c r="G390" s="46"/>
      <c r="H390" s="46"/>
      <c r="I390" s="46"/>
      <c r="J390" s="46"/>
      <c r="K390" s="46"/>
      <c r="L390" s="46"/>
      <c r="M390" s="46"/>
      <c r="N390" s="46"/>
      <c r="O390" s="46"/>
    </row>
    <row r="391" ht="15.75" customHeight="1">
      <c r="G391" s="46"/>
      <c r="H391" s="46"/>
      <c r="I391" s="46"/>
      <c r="J391" s="46"/>
      <c r="K391" s="46"/>
      <c r="L391" s="46"/>
      <c r="M391" s="46"/>
      <c r="N391" s="46"/>
      <c r="O391" s="46"/>
    </row>
    <row r="392" ht="15.75" customHeight="1">
      <c r="G392" s="46"/>
      <c r="H392" s="46"/>
      <c r="I392" s="46"/>
      <c r="J392" s="46"/>
      <c r="K392" s="46"/>
      <c r="L392" s="46"/>
      <c r="M392" s="46"/>
      <c r="N392" s="46"/>
      <c r="O392" s="46"/>
    </row>
    <row r="393" ht="15.75" customHeight="1">
      <c r="G393" s="46"/>
      <c r="H393" s="46"/>
      <c r="I393" s="46"/>
      <c r="J393" s="46"/>
      <c r="K393" s="46"/>
      <c r="L393" s="46"/>
      <c r="M393" s="46"/>
      <c r="N393" s="46"/>
      <c r="O393" s="46"/>
    </row>
    <row r="394" ht="15.75" customHeight="1">
      <c r="G394" s="46"/>
      <c r="H394" s="46"/>
      <c r="I394" s="46"/>
      <c r="J394" s="46"/>
      <c r="K394" s="46"/>
      <c r="L394" s="46"/>
      <c r="M394" s="46"/>
      <c r="N394" s="46"/>
      <c r="O394" s="46"/>
    </row>
    <row r="395" ht="15.75" customHeight="1">
      <c r="G395" s="46"/>
      <c r="H395" s="46"/>
      <c r="I395" s="46"/>
      <c r="J395" s="46"/>
      <c r="K395" s="46"/>
      <c r="L395" s="46"/>
      <c r="M395" s="46"/>
      <c r="N395" s="46"/>
      <c r="O395" s="46"/>
    </row>
    <row r="396" ht="15.75" customHeight="1">
      <c r="G396" s="46"/>
      <c r="H396" s="46"/>
      <c r="I396" s="46"/>
      <c r="J396" s="46"/>
      <c r="K396" s="46"/>
      <c r="L396" s="46"/>
      <c r="M396" s="46"/>
      <c r="N396" s="46"/>
      <c r="O396" s="46"/>
    </row>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G2:G4"/>
    <mergeCell ref="H2:K2"/>
    <mergeCell ref="H3:I3"/>
    <mergeCell ref="J3:K3"/>
    <mergeCell ref="L2:N3"/>
    <mergeCell ref="O2:O4"/>
    <mergeCell ref="A5:O5"/>
    <mergeCell ref="A13:O13"/>
    <mergeCell ref="A66:O66"/>
    <mergeCell ref="A126:O126"/>
    <mergeCell ref="A186:O186"/>
    <mergeCell ref="B1:O1"/>
    <mergeCell ref="A2:A4"/>
    <mergeCell ref="B2:B4"/>
    <mergeCell ref="C2:C4"/>
    <mergeCell ref="D2:D4"/>
    <mergeCell ref="E2:E4"/>
    <mergeCell ref="F2:F4"/>
  </mergeCells>
  <conditionalFormatting sqref="G2:G4 G6:G12 G14:G65 G67:G125 G127:G185 G187:G1000">
    <cfRule type="containsText" dxfId="0" priority="1" operator="containsText" text="High">
      <formula>NOT(ISERROR(SEARCH(("High"),(G2))))</formula>
    </cfRule>
  </conditionalFormatting>
  <conditionalFormatting sqref="G2:G4 G6:G12 G14:G65 G67:G125 G127:G185 G187:G1000">
    <cfRule type="containsText" dxfId="0" priority="2" operator="containsText" text="Medium">
      <formula>NOT(ISERROR(SEARCH(("Medium"),(G2))))</formula>
    </cfRule>
  </conditionalFormatting>
  <conditionalFormatting sqref="G2:G4 G6:G12 G14:G65 G67:G125 G127:G185 G187:G1000">
    <cfRule type="containsText" dxfId="0" priority="3" operator="containsText" text="Low">
      <formula>NOT(ISERROR(SEARCH(("Low"),(G2))))</formula>
    </cfRule>
  </conditionalFormatting>
  <conditionalFormatting sqref="I6:I12 I14:I65 I67:I125 I127:I185 I187:I1000 K6:N12 K14:N65 K67:N125 K127:N185 K187:N196">
    <cfRule type="containsText" dxfId="0" priority="4" operator="containsText" text="OK">
      <formula>NOT(ISERROR(SEARCH(("OK"),(I6))))</formula>
    </cfRule>
  </conditionalFormatting>
  <conditionalFormatting sqref="I6:I12 I14:I65 I67:I125 I127:I185 I187:I1000 K6:N12 K14:N65 K67:N125 K127:N185 K187:N196">
    <cfRule type="containsText" dxfId="1" priority="5" operator="containsText" text="NA">
      <formula>NOT(ISERROR(SEARCH(("NA"),(I6))))</formula>
    </cfRule>
  </conditionalFormatting>
  <dataValidations>
    <dataValidation type="list" allowBlank="1" sqref="H6:H12 J6:J12 H14:H65 J14:J65 H67:H125 J67:J125 H127:H185 J127:J185 H187:H196 J187:J196">
      <formula1>"x,●"</formula1>
    </dataValidation>
    <dataValidation type="list" allowBlank="1" sqref="I6:I12 K6:N12 I14:I65 K14:N65 I67:I125 K67:N125 I127:I185 K127:N185 I187:I196 K187:N196">
      <formula1>"OK,NG,NA"</formula1>
    </dataValidation>
    <dataValidation type="list" allowBlank="1" showErrorMessage="1" sqref="G6:G12 G14:G65 G67:G125 G127:G185 G187:G196">
      <formula1>"High,Medium,Low"</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3.5"/>
    <col customWidth="1" min="2" max="4" width="33.13"/>
    <col customWidth="1" min="5" max="5" width="40.88"/>
    <col customWidth="1" min="6" max="6" width="38.75"/>
  </cols>
  <sheetData>
    <row r="1" ht="15.75" customHeight="1">
      <c r="A1" s="23" t="s">
        <v>22</v>
      </c>
      <c r="B1" s="24" t="s">
        <v>528</v>
      </c>
      <c r="C1" s="16"/>
      <c r="D1" s="16"/>
      <c r="E1" s="16"/>
      <c r="F1" s="16"/>
      <c r="G1" s="17"/>
      <c r="H1" s="69"/>
      <c r="I1" s="69"/>
      <c r="J1" s="69"/>
      <c r="K1" s="69"/>
      <c r="L1" s="69"/>
      <c r="M1" s="69"/>
      <c r="N1" s="69"/>
      <c r="O1" s="69"/>
    </row>
    <row r="2" ht="15.75" customHeight="1">
      <c r="A2" s="25" t="s">
        <v>24</v>
      </c>
      <c r="B2" s="26" t="s">
        <v>25</v>
      </c>
      <c r="C2" s="26" t="s">
        <v>26</v>
      </c>
      <c r="D2" s="26" t="s">
        <v>27</v>
      </c>
      <c r="E2" s="26" t="s">
        <v>28</v>
      </c>
      <c r="F2" s="26" t="s">
        <v>29</v>
      </c>
      <c r="G2" s="27" t="s">
        <v>30</v>
      </c>
      <c r="H2" s="28" t="s">
        <v>31</v>
      </c>
      <c r="I2" s="5"/>
      <c r="J2" s="5"/>
      <c r="K2" s="6"/>
      <c r="L2" s="29" t="s">
        <v>32</v>
      </c>
      <c r="N2" s="30"/>
      <c r="O2" s="31" t="s">
        <v>33</v>
      </c>
    </row>
    <row r="3" ht="15.75" customHeight="1">
      <c r="A3" s="32"/>
      <c r="B3" s="30"/>
      <c r="C3" s="30"/>
      <c r="D3" s="30"/>
      <c r="E3" s="30"/>
      <c r="F3" s="30"/>
      <c r="G3" s="30"/>
      <c r="H3" s="28" t="s">
        <v>34</v>
      </c>
      <c r="I3" s="5"/>
      <c r="J3" s="33" t="s">
        <v>35</v>
      </c>
      <c r="K3" s="17"/>
      <c r="L3" s="5"/>
      <c r="M3" s="5"/>
      <c r="N3" s="6"/>
      <c r="O3" s="30"/>
    </row>
    <row r="4" ht="15.75" customHeight="1">
      <c r="A4" s="34"/>
      <c r="B4" s="6"/>
      <c r="C4" s="6"/>
      <c r="D4" s="6"/>
      <c r="E4" s="6"/>
      <c r="F4" s="6"/>
      <c r="G4" s="6"/>
      <c r="H4" s="35" t="s">
        <v>36</v>
      </c>
      <c r="I4" s="35" t="s">
        <v>37</v>
      </c>
      <c r="J4" s="35" t="s">
        <v>36</v>
      </c>
      <c r="K4" s="35" t="s">
        <v>37</v>
      </c>
      <c r="L4" s="36" t="s">
        <v>38</v>
      </c>
      <c r="M4" s="37" t="s">
        <v>39</v>
      </c>
      <c r="N4" s="37" t="s">
        <v>40</v>
      </c>
      <c r="O4" s="6"/>
    </row>
    <row r="5" ht="15.75" customHeight="1">
      <c r="A5" s="38" t="str">
        <f t="shared" ref="A5:A8" si="1">IF(F5&lt;&gt;"",""&amp;TEXT($B$1,"##")&amp;"_"&amp;(ROW()-4)-COUNTBLANK(F5:F$6),"")</f>
        <v>IT_1</v>
      </c>
      <c r="B5" s="39" t="str">
        <f>IFERROR(__xludf.DUMMYFUNCTION("GOOGLETRANSLATE(IT!B5,""vi"",""ja"")"),"画面間でデジタルツールを選択してください")</f>
        <v>画面間でデジタルツールを選択してください</v>
      </c>
      <c r="C5" s="39" t="str">
        <f>IFERROR(__xludf.DUMMYFUNCTION("GOOGLETRANSLATE(IT!C5,""vi"",""ja"")"),"画面間でデジタルツールの選択を確認する")</f>
        <v>画面間でデジタルツールの選択を確認する</v>
      </c>
      <c r="D5" s="39"/>
      <c r="E5" s="39" t="str">
        <f>IFERROR(__xludf.DUMMYFUNCTION("GOOGLETRANSLATE(IT!E5,""vi"",""ja"")"),"1.デジタルツール一覧画面へ
2. 1 ページ目から 3 つのデジタル ツールを選択します 
3. せんたく中のイラストを見るをクリック=&gt; 表示を確認
4.せんたく中のイラスト画面で×をクリック
5. ページ 2 に移動し、さらに 2 つのデジタル ツールを選択します 
6. せんたく中のイラストを見るをクリック=&gt; 表示を確認
7. 1の位置のデジタルツールを削除 =&gt; せんたく中のイラスト画面で×をクリック
8. ドロップダウン「絵のしゅるい」をクリックし、タグレベル1を選択して「さがす」ボタンをク"&amp;"リックします。
9. カテゴリのデジタルツールリストから 10 個のデジタルツールを選択します 
10.「せんたく中のイラストを見る」をクリック=&gt; 表示を確認
11. デジタルツール位置 2 を削除 =&gt; 表示を確認
12. せんたく中のイラスト画面で「×」をクリックし、「emile」アイコンをクリック -&gt; ドロップダウン「学年・教科書」をクリックします。
13.さがすボタンをクリックし、[教科書・学年]から7つのデジタルツールを選択します 
14. せんたく中のイラストを見るをクリック=&gt; 表示を確"&amp;"認
15. デジタルツール位置 3 を削除します。 
16.せんたく中のイラスト画面で×をクリック
17.「エミール」アイコンをクリックします。 
18. 選択したデジタルツールのリストを確認する
19. クリックしてページ 2 に移動し、選択したデジタル ツールのリストを確認します")</f>
        <v>1.デジタルツール一覧画面へ
2. 1 ページ目から 3 つのデジタル ツールを選択します 
3. せんたく中のイラストを見るをクリック=&gt; 表示を確認
4.せんたく中のイラスト画面で×をクリック
5. ページ 2 に移動し、さらに 2 つのデジタル ツールを選択します 
6. せんたく中のイラストを見るをクリック=&gt; 表示を確認
7. 1の位置のデジタルツールを削除 =&gt; せんたく中のイラスト画面で×をクリック
8. ドロップダウン「絵のしゅるい」をクリックし、タグレベル1を選択して「さがす」ボタンをクリックします。
9. カテゴリのデジタルツールリストから 10 個のデジタルツールを選択します 
10.「せんたく中のイラストを見る」をクリック=&gt; 表示を確認
11. デジタルツール位置 2 を削除 =&gt; 表示を確認
12. せんたく中のイラスト画面で「×」をクリックし、「emile」アイコンをクリック -&gt; ドロップダウン「学年・教科書」をクリックします。
13.さがすボタンをクリックし、[教科書・学年]から7つのデジタルツールを選択します 
14. せんたく中のイラストを見るをクリック=&gt; 表示を確認
15. デジタルツール位置 3 を削除します。 
16.せんたく中のイラスト画面で×をクリック
17.「エミール」アイコンをクリックします。 
18. 選択したデジタルツールのリストを確認する
19. クリックしてページ 2 に移動し、選択したデジタル ツールのリストを確認します</v>
      </c>
      <c r="F5" s="39" t="str">
        <f>IFERROR(__xludf.DUMMYFUNCTION("GOOGLETRANSLATE(IT!F5,""vi"",""ja"")"),"2. 背景 #FFCC00 を表示するために 3 つのデジタル ツールが選択されています 
3. モーダルせんたく中のイラストを開くと、ステップ2の3つのデジタルツールがクリック順に応じて1、2、3の3つの位置に表示されます。 
5. 選択した 2 つのデジタル ツールの背景 #FFCC00 が表示されます 
6.モーダルせんたく中のイラストを開くと、手順5の2つのデジタルツールがクリック順に応じて4,5の2箇所に表示されます
7. デジタルツール番号 1 を削除すると、次のデジタルツールが蓄積されます
"&amp;"8. カテゴリ別検索画面表示：タグレベル1以下のデジタルツール一覧
 9. 選ばれた10のデジタルツールの表示背景 #FFCC00 
10. モーダルせんたく中のイラストを開くと、クリック順に応じて手順9の10個のデジタルツールが5～14の位置に表示されます 
11. デジタルツール番号 2 を削除すると、次のデジタルツールが蓄積されます
13. [教科書・学年]で検索画面を表示：[教科書・学年]の全デジタルツール一覧
      選択された 6 つのデジタル ツールには背景 #FFCC00 が表示され、"&amp;"7 番目のデジタル ツールは選択できません
14. 20 個のデジタル ツールをすべて表示する 
15. デジタルツール番号 3 を削除すると、次のデジタルツールが蓄積されます
17.デジタルツール一覧画面に移動します 
18. 選択できるデジタル ツールは 1 つだけです 
19. 選択できるデジタル ツールは 1 つだけです")</f>
        <v>2. 背景 #FFCC00 を表示するために 3 つのデジタル ツールが選択されています 
3. モーダルせんたく中のイラストを開くと、ステップ2の3つのデジタルツールがクリック順に応じて1、2、3の3つの位置に表示されます。 
5. 選択した 2 つのデジタル ツールの背景 #FFCC00 が表示されます 
6.モーダルせんたく中のイラストを開くと、手順5の2つのデジタルツールがクリック順に応じて4,5の2箇所に表示されます
7. デジタルツール番号 1 を削除すると、次のデジタルツールが蓄積されます
8. カテゴリ別検索画面表示：タグレベル1以下のデジタルツール一覧
 9. 選ばれた10のデジタルツールの表示背景 #FFCC00 
10. モーダルせんたく中のイラストを開くと、クリック順に応じて手順9の10個のデジタルツールが5～14の位置に表示されます 
11. デジタルツール番号 2 を削除すると、次のデジタルツールが蓄積されます
13. [教科書・学年]で検索画面を表示：[教科書・学年]の全デジタルツール一覧
      選択された 6 つのデジタル ツールには背景 #FFCC00 が表示され、7 番目のデジタル ツールは選択できません
14. 20 個のデジタル ツールをすべて表示する 
15. デジタルツール番号 3 を削除すると、次のデジタルツールが蓄積されます
17.デジタルツール一覧画面に移動します 
18. 選択できるデジタル ツールは 1 つだけです 
19. 選択できるデジタル ツールは 1 つだけです</v>
      </c>
      <c r="G5" s="40" t="s">
        <v>45</v>
      </c>
      <c r="H5" s="41" t="s">
        <v>46</v>
      </c>
      <c r="I5" s="42"/>
      <c r="J5" s="41" t="s">
        <v>46</v>
      </c>
      <c r="K5" s="42"/>
      <c r="L5" s="42" t="s">
        <v>667</v>
      </c>
      <c r="M5" s="42" t="s">
        <v>667</v>
      </c>
      <c r="N5" s="42" t="s">
        <v>667</v>
      </c>
      <c r="O5" s="43"/>
    </row>
    <row r="6" ht="15.75" customHeight="1">
      <c r="A6" s="38" t="str">
        <f t="shared" si="1"/>
        <v>IT_2</v>
      </c>
      <c r="B6" s="39" t="str">
        <f>IFERROR(__xludf.DUMMYFUNCTION("GOOGLETRANSLATE(IT!B6,""vi"",""ja"")"),"検索")</f>
        <v>検索</v>
      </c>
      <c r="C6" s="39" t="str">
        <f>IFERROR(__xludf.DUMMYFUNCTION("GOOGLETRANSLATE(IT!C6,""vi"",""ja"")"),"キーワード、カテゴリー、[教科書・学年]で探すときにチェックしてください")</f>
        <v>キーワード、カテゴリー、[教科書・学年]で探すときにチェックしてください</v>
      </c>
      <c r="D6" s="39"/>
      <c r="E6" s="39" t="str">
        <f>IFERROR(__xludf.DUMMYFUNCTION("GOOGLETRANSLATE(IT!E6,""vi"",""ja"")"),"1.デジタルツール一覧画面へ 
2.「絵のしゅるい」ドロップダウンをクリックします。
3.タグレベル1をクリックして選択し、ボタンをクリックします
4. 検索テキストボックスにキーワードを入力し、「さがす」ボタンをクリック=&gt; 表示を確認
5.「絵のしゅるい」ドロップダウンをクリックします。
6. タグレベル 1、2、3、4 をクリックして選択し、「さがす=&gt; 表示を確認」ボタンをクリックします ")</f>
        <v>1.デジタルツール一覧画面へ 
2.「絵のしゅるい」ドロップダウンをクリックします。
3.タグレベル1をクリックして選択し、ボタンをクリックします
4. 検索テキストボックスにキーワードを入力し、「さがす」ボタンをクリック=&gt; 表示を確認
5.「絵のしゅるい」ドロップダウンをクリックします。
6. タグレベル 1、2、3、4 をクリックして選択し、「さがす=&gt; 表示を確認」ボタンをクリックします </v>
      </c>
      <c r="F6" s="39" t="str">
        <f>IFERROR(__xludf.DUMMYFUNCTION("GOOGLETRANSLATE(IT!F6,""vi"",""ja"")"),"3. カテゴリ別の検索結果画面を表示：タグレベル1に属するデジタルツールを一覧表示
4. カテゴリごとに検索条件をクリアし、キーワードごとに検索結果画面を表示：今検索したキーワードを含むリストデジタルツール 
6. キーワードで検索条件をクリア、カテゴリごとに検索結果画面を表示：リストデジタルツールはタグレベル4に属します")</f>
        <v>3. カテゴリ別の検索結果画面を表示：タグレベル1に属するデジタルツールを一覧表示
4. カテゴリごとに検索条件をクリアし、キーワードごとに検索結果画面を表示：今検索したキーワードを含むリストデジタルツール 
6. キーワードで検索条件をクリア、カテゴリごとに検索結果画面を表示：リストデジタルツールはタグレベル4に属します</v>
      </c>
      <c r="G6" s="40" t="s">
        <v>45</v>
      </c>
      <c r="H6" s="41" t="s">
        <v>46</v>
      </c>
      <c r="I6" s="42"/>
      <c r="J6" s="41" t="s">
        <v>46</v>
      </c>
      <c r="K6" s="42"/>
      <c r="L6" s="42" t="s">
        <v>667</v>
      </c>
      <c r="M6" s="42" t="s">
        <v>667</v>
      </c>
      <c r="N6" s="42" t="s">
        <v>667</v>
      </c>
      <c r="O6" s="43"/>
    </row>
    <row r="7" ht="15.75" customHeight="1">
      <c r="A7" s="38" t="str">
        <f t="shared" si="1"/>
        <v>IT_3</v>
      </c>
      <c r="B7" s="39"/>
      <c r="C7" s="39"/>
      <c r="D7" s="39"/>
      <c r="E7" s="39" t="str">
        <f>IFERROR(__xludf.DUMMYFUNCTION("GOOGLETRANSLATE(IT!E7,""vi"",""ja"")"),"1.デジタルツール一覧画面へ 
2. 「学年・教科書」ドロップダウンをクリックします。
3.タグレベル1をクリックして選択し、ボタンをクリックします
4. 検索テキストボックスにキーワードを入力し、「さがす」ボタンをクリック=&gt; 表示を確認
5. 「学年・教科書」ドロップダウンをクリックします。
6. タグレベル1、2をクリックして選択し、「さがす=&gt;表示を確認」ボタンをクリック ")</f>
        <v>1.デジタルツール一覧画面へ 
2. 「学年・教科書」ドロップダウンをクリックします。
3.タグレベル1をクリックして選択し、ボタンをクリックします
4. 検索テキストボックスにキーワードを入力し、「さがす」ボタンをクリック=&gt; 表示を確認
5. 「学年・教科書」ドロップダウンをクリックします。
6. タグレベル1、2をクリックして選択し、「さがす=&gt;表示を確認」ボタンをクリック </v>
      </c>
      <c r="F7" s="39" t="str">
        <f>IFERROR(__xludf.DUMMYFUNCTION("GOOGLETRANSLATE(IT!F7,""vi"",""ja"")"),"3. [教科書・学年]に応じて検索結果画面を表示：タグレベル1に属するデジタルツールの一覧
4. [教科書・学年]で検索条件をクリアし、キーワードによる検索結果画面を表示：今検索したキーワードを含むリストデジタルツール 
6. キーワードで検索条件をクリア、[教科書・学年]で検索結果画面を表示：タグレベル2に属するデジタルツールの一覧")</f>
        <v>3. [教科書・学年]に応じて検索結果画面を表示：タグレベル1に属するデジタルツールの一覧
4. [教科書・学年]で検索条件をクリアし、キーワードによる検索結果画面を表示：今検索したキーワードを含むリストデジタルツール 
6. キーワードで検索条件をクリア、[教科書・学年]で検索結果画面を表示：タグレベル2に属するデジタルツールの一覧</v>
      </c>
      <c r="G7" s="40" t="s">
        <v>45</v>
      </c>
      <c r="H7" s="41" t="s">
        <v>46</v>
      </c>
      <c r="I7" s="42"/>
      <c r="J7" s="41" t="s">
        <v>46</v>
      </c>
      <c r="K7" s="42"/>
      <c r="L7" s="42" t="s">
        <v>667</v>
      </c>
      <c r="M7" s="42" t="s">
        <v>667</v>
      </c>
      <c r="N7" s="42" t="s">
        <v>667</v>
      </c>
      <c r="O7" s="43"/>
    </row>
    <row r="8" ht="15.75" customHeight="1">
      <c r="A8" s="38" t="str">
        <f t="shared" si="1"/>
        <v>IT_4</v>
      </c>
      <c r="B8" s="39"/>
      <c r="C8" s="39"/>
      <c r="D8" s="39"/>
      <c r="E8" s="39" t="str">
        <f>IFERROR(__xludf.DUMMYFUNCTION("GOOGLETRANSLATE(IT!E8,""vi"",""ja"")"),"1.デジタルツール一覧画面へ 
2.「絵のしゅるい」ドロップダウンをクリックします。
3. タグレベル1、2をクリックして選択し、ボタンをクリックします
4.「絵のしゅるい」ドロップダウンを閉じ、「学年・教科書」ドロップダウンをクリックします。
5. タグレベル1、2、3をクリックして選択し、クリックボタンがす
6. ブレッドスクラム内のレベル 2 タグ名をクリックします。 
7. 「学年・教科書」ドロップダウンを閉じ、「絵のしゅるい」ドロップダウンをクリックして、「さがす」ボタンをクリックします。")</f>
        <v>1.デジタルツール一覧画面へ 
2.「絵のしゅるい」ドロップダウンをクリックします。
3. タグレベル1、2をクリックして選択し、ボタンをクリックします
4.「絵のしゅるい」ドロップダウンを閉じ、「学年・教科書」ドロップダウンをクリックします。
5. タグレベル1、2、3をクリックして選択し、クリックボタンがす
6. ブレッドスクラム内のレベル 2 タグ名をクリックします。 
7. 「学年・教科書」ドロップダウンを閉じ、「絵のしゅるい」ドロップダウンをクリックして、「さがす」ボタンをクリックします。</v>
      </c>
      <c r="F8" s="39" t="str">
        <f>IFERROR(__xludf.DUMMYFUNCTION("GOOGLETRANSLATE(IT!F8,""vi"",""ja"")"),"3. 検索結果画面をカテゴリ別に表示：タグレベル2に属するデジタルツールを一覧表示
5. カテゴリ別に検索条件をクリア、[教科書・学年]別に検索結果画面を表示：タグレベル3に属するデジタルツールの一覧
6. [教科書・学年]による検索結果画面の表示：タグレベル2に属するデジタルツールの一覧
7. [教科書・学年]で検索条件をクリア、カテゴリ別の検索結果画面を表示：カテゴリの全デジタルツール一覧")</f>
        <v>3. 検索結果画面をカテゴリ別に表示：タグレベル2に属するデジタルツールを一覧表示
5. カテゴリ別に検索条件をクリア、[教科書・学年]別に検索結果画面を表示：タグレベル3に属するデジタルツールの一覧
6. [教科書・学年]による検索結果画面の表示：タグレベル2に属するデジタルツールの一覧
7. [教科書・学年]で検索条件をクリア、カテゴリ別の検索結果画面を表示：カテゴリの全デジタルツール一覧</v>
      </c>
      <c r="G8" s="40" t="s">
        <v>45</v>
      </c>
      <c r="H8" s="41" t="s">
        <v>46</v>
      </c>
      <c r="I8" s="42"/>
      <c r="J8" s="41" t="s">
        <v>46</v>
      </c>
      <c r="K8" s="42"/>
      <c r="L8" s="42" t="s">
        <v>667</v>
      </c>
      <c r="M8" s="42" t="s">
        <v>667</v>
      </c>
      <c r="N8" s="42" t="s">
        <v>667</v>
      </c>
      <c r="O8" s="43"/>
    </row>
    <row r="9" ht="15.75" customHeight="1">
      <c r="E9" s="45"/>
      <c r="G9" s="46"/>
      <c r="H9" s="46"/>
      <c r="I9" s="46"/>
      <c r="J9" s="46"/>
      <c r="K9" s="46"/>
      <c r="L9" s="46"/>
      <c r="M9" s="46"/>
      <c r="N9" s="46"/>
      <c r="O9" s="46"/>
    </row>
    <row r="10" ht="15.75" customHeight="1">
      <c r="E10" s="45"/>
      <c r="G10" s="46"/>
      <c r="H10" s="46"/>
      <c r="I10" s="46"/>
      <c r="J10" s="46"/>
      <c r="K10" s="46"/>
      <c r="L10" s="46"/>
      <c r="M10" s="46"/>
      <c r="N10" s="46"/>
      <c r="O10" s="46"/>
    </row>
    <row r="11" ht="15.75" customHeight="1">
      <c r="E11" s="45"/>
      <c r="G11" s="46"/>
      <c r="H11" s="46"/>
      <c r="I11" s="46"/>
      <c r="J11" s="46"/>
      <c r="K11" s="46"/>
      <c r="L11" s="46"/>
      <c r="M11" s="46"/>
      <c r="N11" s="46"/>
      <c r="O11" s="46"/>
    </row>
    <row r="12" ht="15.75" customHeight="1">
      <c r="E12" s="45"/>
      <c r="G12" s="46"/>
      <c r="H12" s="46"/>
      <c r="I12" s="46"/>
      <c r="J12" s="46"/>
      <c r="K12" s="46"/>
      <c r="L12" s="46"/>
      <c r="M12" s="46"/>
      <c r="N12" s="46"/>
      <c r="O12" s="46"/>
    </row>
    <row r="13" ht="15.75" customHeight="1">
      <c r="E13" s="45"/>
      <c r="G13" s="46"/>
      <c r="H13" s="46"/>
      <c r="I13" s="46"/>
      <c r="J13" s="46"/>
      <c r="K13" s="46"/>
      <c r="L13" s="46"/>
      <c r="M13" s="46"/>
      <c r="N13" s="46"/>
      <c r="O13" s="46"/>
    </row>
    <row r="14" ht="15.75" customHeight="1">
      <c r="E14" s="45"/>
      <c r="G14" s="46"/>
      <c r="H14" s="46"/>
      <c r="I14" s="46"/>
      <c r="J14" s="46"/>
      <c r="K14" s="46"/>
      <c r="L14" s="46"/>
      <c r="M14" s="46"/>
      <c r="N14" s="46"/>
      <c r="O14" s="46"/>
    </row>
    <row r="15" ht="15.75" customHeight="1">
      <c r="E15" s="45"/>
      <c r="G15" s="46"/>
      <c r="H15" s="46"/>
      <c r="I15" s="46"/>
      <c r="J15" s="46"/>
      <c r="K15" s="46"/>
      <c r="L15" s="46"/>
      <c r="M15" s="46"/>
      <c r="N15" s="46"/>
      <c r="O15" s="46"/>
    </row>
    <row r="16" ht="15.75" customHeight="1">
      <c r="E16" s="45"/>
      <c r="G16" s="46"/>
      <c r="H16" s="46"/>
      <c r="I16" s="46"/>
      <c r="J16" s="46"/>
      <c r="K16" s="46"/>
      <c r="L16" s="46"/>
      <c r="M16" s="46"/>
      <c r="N16" s="46"/>
      <c r="O16" s="46"/>
    </row>
    <row r="17" ht="15.75" customHeight="1">
      <c r="E17" s="45"/>
      <c r="G17" s="46"/>
      <c r="H17" s="46"/>
      <c r="I17" s="46"/>
      <c r="J17" s="46"/>
      <c r="K17" s="46"/>
      <c r="L17" s="46"/>
      <c r="M17" s="46"/>
      <c r="N17" s="46"/>
      <c r="O17" s="46"/>
    </row>
    <row r="18" ht="15.75" customHeight="1">
      <c r="E18" s="45"/>
      <c r="G18" s="46"/>
      <c r="H18" s="46"/>
      <c r="I18" s="46"/>
      <c r="J18" s="46"/>
      <c r="K18" s="46"/>
      <c r="L18" s="46"/>
      <c r="M18" s="46"/>
      <c r="N18" s="46"/>
      <c r="O18" s="46"/>
    </row>
    <row r="19" ht="15.75" customHeight="1">
      <c r="E19" s="45"/>
      <c r="G19" s="46"/>
      <c r="H19" s="46"/>
      <c r="I19" s="46"/>
      <c r="J19" s="46"/>
      <c r="K19" s="46"/>
      <c r="L19" s="46"/>
      <c r="M19" s="46"/>
      <c r="N19" s="46"/>
      <c r="O19" s="46"/>
    </row>
    <row r="20" ht="15.75" customHeight="1">
      <c r="E20" s="45"/>
      <c r="G20" s="46"/>
      <c r="H20" s="46"/>
      <c r="I20" s="46"/>
      <c r="J20" s="46"/>
      <c r="K20" s="46"/>
      <c r="L20" s="46"/>
      <c r="M20" s="46"/>
      <c r="N20" s="46"/>
      <c r="O20" s="46"/>
    </row>
    <row r="21" ht="15.75" customHeight="1">
      <c r="E21" s="45"/>
      <c r="G21" s="46"/>
      <c r="H21" s="46"/>
      <c r="I21" s="46"/>
      <c r="J21" s="46"/>
      <c r="K21" s="46"/>
      <c r="L21" s="46"/>
      <c r="M21" s="46"/>
      <c r="N21" s="46"/>
      <c r="O21" s="46"/>
    </row>
    <row r="22" ht="15.75" customHeight="1">
      <c r="E22" s="45"/>
      <c r="G22" s="46"/>
      <c r="H22" s="46"/>
      <c r="I22" s="46"/>
      <c r="J22" s="46"/>
      <c r="K22" s="46"/>
      <c r="L22" s="46"/>
      <c r="M22" s="46"/>
      <c r="N22" s="46"/>
      <c r="O22" s="46"/>
    </row>
    <row r="23" ht="15.75" customHeight="1">
      <c r="E23" s="45"/>
      <c r="G23" s="46"/>
      <c r="H23" s="46"/>
      <c r="I23" s="46"/>
      <c r="J23" s="46"/>
      <c r="K23" s="46"/>
      <c r="L23" s="46"/>
      <c r="M23" s="46"/>
      <c r="N23" s="46"/>
      <c r="O23" s="46"/>
    </row>
    <row r="24" ht="15.75" customHeight="1">
      <c r="E24" s="45"/>
      <c r="G24" s="46"/>
      <c r="H24" s="46"/>
      <c r="I24" s="46"/>
      <c r="J24" s="46"/>
      <c r="K24" s="46"/>
      <c r="L24" s="46"/>
      <c r="M24" s="46"/>
      <c r="N24" s="46"/>
      <c r="O24" s="46"/>
    </row>
    <row r="25" ht="15.75" customHeight="1">
      <c r="E25" s="45"/>
      <c r="G25" s="46"/>
      <c r="H25" s="46"/>
      <c r="I25" s="46"/>
      <c r="J25" s="46"/>
      <c r="K25" s="46"/>
      <c r="L25" s="46"/>
      <c r="M25" s="46"/>
      <c r="N25" s="46"/>
      <c r="O25" s="46"/>
    </row>
    <row r="26" ht="15.75" customHeight="1">
      <c r="E26" s="45"/>
      <c r="G26" s="46"/>
      <c r="H26" s="46"/>
      <c r="I26" s="46"/>
      <c r="J26" s="46"/>
      <c r="K26" s="46"/>
      <c r="L26" s="46"/>
      <c r="M26" s="46"/>
      <c r="N26" s="46"/>
      <c r="O26" s="46"/>
    </row>
    <row r="27" ht="15.75" customHeight="1">
      <c r="E27" s="45"/>
      <c r="G27" s="46"/>
      <c r="H27" s="46"/>
      <c r="I27" s="46"/>
      <c r="J27" s="46"/>
      <c r="K27" s="46"/>
      <c r="L27" s="46"/>
      <c r="M27" s="46"/>
      <c r="N27" s="46"/>
      <c r="O27" s="46"/>
    </row>
    <row r="28" ht="15.75" customHeight="1">
      <c r="E28" s="45"/>
      <c r="G28" s="46"/>
      <c r="H28" s="46"/>
      <c r="I28" s="46"/>
      <c r="J28" s="46"/>
      <c r="K28" s="46"/>
      <c r="L28" s="46"/>
      <c r="M28" s="46"/>
      <c r="N28" s="46"/>
      <c r="O28" s="46"/>
    </row>
    <row r="29" ht="15.75" customHeight="1">
      <c r="E29" s="45"/>
      <c r="G29" s="46"/>
      <c r="H29" s="46"/>
      <c r="I29" s="46"/>
      <c r="J29" s="46"/>
      <c r="K29" s="46"/>
      <c r="L29" s="46"/>
      <c r="M29" s="46"/>
      <c r="N29" s="46"/>
      <c r="O29" s="46"/>
    </row>
    <row r="30" ht="15.75" customHeight="1">
      <c r="E30" s="45"/>
      <c r="G30" s="46"/>
      <c r="H30" s="46"/>
      <c r="I30" s="46"/>
      <c r="J30" s="46"/>
      <c r="K30" s="46"/>
      <c r="L30" s="46"/>
      <c r="M30" s="46"/>
      <c r="N30" s="46"/>
      <c r="O30" s="46"/>
    </row>
    <row r="31" ht="15.75" customHeight="1">
      <c r="E31" s="45"/>
      <c r="G31" s="46"/>
      <c r="H31" s="46"/>
      <c r="I31" s="46"/>
      <c r="J31" s="46"/>
      <c r="K31" s="46"/>
      <c r="L31" s="46"/>
      <c r="M31" s="46"/>
      <c r="N31" s="46"/>
      <c r="O31" s="46"/>
    </row>
    <row r="32" ht="15.75" customHeight="1">
      <c r="E32" s="45"/>
      <c r="G32" s="46"/>
      <c r="H32" s="46"/>
      <c r="I32" s="46"/>
      <c r="J32" s="46"/>
      <c r="K32" s="46"/>
      <c r="L32" s="46"/>
      <c r="M32" s="46"/>
      <c r="N32" s="46"/>
      <c r="O32" s="46"/>
    </row>
    <row r="33" ht="15.75" customHeight="1">
      <c r="E33" s="45"/>
      <c r="G33" s="46"/>
      <c r="H33" s="46"/>
      <c r="I33" s="46"/>
      <c r="J33" s="46"/>
      <c r="K33" s="46"/>
      <c r="L33" s="46"/>
      <c r="M33" s="46"/>
      <c r="N33" s="46"/>
      <c r="O33" s="46"/>
    </row>
    <row r="34" ht="15.75" customHeight="1">
      <c r="E34" s="45"/>
      <c r="G34" s="46"/>
      <c r="H34" s="46"/>
      <c r="I34" s="46"/>
      <c r="J34" s="46"/>
      <c r="K34" s="46"/>
      <c r="L34" s="46"/>
      <c r="M34" s="46"/>
      <c r="N34" s="46"/>
      <c r="O34" s="46"/>
    </row>
    <row r="35" ht="15.75" customHeight="1">
      <c r="E35" s="45"/>
      <c r="G35" s="46"/>
      <c r="H35" s="46"/>
      <c r="I35" s="46"/>
      <c r="J35" s="46"/>
      <c r="K35" s="46"/>
      <c r="L35" s="46"/>
      <c r="M35" s="46"/>
      <c r="N35" s="46"/>
      <c r="O35" s="46"/>
    </row>
    <row r="36" ht="15.75" customHeight="1">
      <c r="E36" s="45"/>
      <c r="G36" s="46"/>
      <c r="H36" s="46"/>
      <c r="I36" s="46"/>
      <c r="J36" s="46"/>
      <c r="K36" s="46"/>
      <c r="L36" s="46"/>
      <c r="M36" s="46"/>
      <c r="N36" s="46"/>
      <c r="O36" s="46"/>
    </row>
    <row r="37" ht="15.75" customHeight="1">
      <c r="E37" s="45"/>
      <c r="G37" s="46"/>
      <c r="H37" s="46"/>
      <c r="I37" s="46"/>
      <c r="J37" s="46"/>
      <c r="K37" s="46"/>
      <c r="L37" s="46"/>
      <c r="M37" s="46"/>
      <c r="N37" s="46"/>
      <c r="O37" s="46"/>
    </row>
    <row r="38" ht="15.75" customHeight="1">
      <c r="E38" s="45"/>
      <c r="G38" s="46"/>
      <c r="H38" s="46"/>
      <c r="I38" s="46"/>
      <c r="J38" s="46"/>
      <c r="K38" s="46"/>
      <c r="L38" s="46"/>
      <c r="M38" s="46"/>
      <c r="N38" s="46"/>
      <c r="O38" s="46"/>
    </row>
    <row r="39" ht="15.75" customHeight="1">
      <c r="E39" s="45"/>
      <c r="G39" s="46"/>
      <c r="H39" s="46"/>
      <c r="I39" s="46"/>
      <c r="J39" s="46"/>
      <c r="K39" s="46"/>
      <c r="L39" s="46"/>
      <c r="M39" s="46"/>
      <c r="N39" s="46"/>
      <c r="O39" s="46"/>
    </row>
    <row r="40" ht="15.75" customHeight="1">
      <c r="E40" s="45"/>
      <c r="G40" s="46"/>
      <c r="H40" s="46"/>
      <c r="I40" s="46"/>
      <c r="J40" s="46"/>
      <c r="K40" s="46"/>
      <c r="L40" s="46"/>
      <c r="M40" s="46"/>
      <c r="N40" s="46"/>
      <c r="O40" s="46"/>
    </row>
    <row r="41" ht="15.75" customHeight="1">
      <c r="E41" s="45"/>
      <c r="G41" s="46"/>
      <c r="H41" s="46"/>
      <c r="I41" s="46"/>
      <c r="J41" s="46"/>
      <c r="K41" s="46"/>
      <c r="L41" s="46"/>
      <c r="M41" s="46"/>
      <c r="N41" s="46"/>
      <c r="O41" s="46"/>
    </row>
    <row r="42" ht="15.75" customHeight="1">
      <c r="E42" s="45"/>
      <c r="G42" s="46"/>
      <c r="H42" s="46"/>
      <c r="I42" s="46"/>
      <c r="J42" s="46"/>
      <c r="K42" s="46"/>
      <c r="L42" s="46"/>
      <c r="M42" s="46"/>
      <c r="N42" s="46"/>
      <c r="O42" s="46"/>
    </row>
    <row r="43" ht="15.75" customHeight="1">
      <c r="E43" s="45"/>
      <c r="G43" s="46"/>
      <c r="H43" s="46"/>
      <c r="I43" s="46"/>
      <c r="J43" s="46"/>
      <c r="K43" s="46"/>
      <c r="L43" s="46"/>
      <c r="M43" s="46"/>
      <c r="N43" s="46"/>
      <c r="O43" s="46"/>
    </row>
    <row r="44" ht="15.75" customHeight="1">
      <c r="E44" s="45"/>
      <c r="G44" s="46"/>
      <c r="H44" s="46"/>
      <c r="I44" s="46"/>
      <c r="J44" s="46"/>
      <c r="K44" s="46"/>
      <c r="L44" s="46"/>
      <c r="M44" s="46"/>
      <c r="N44" s="46"/>
      <c r="O44" s="46"/>
    </row>
    <row r="45" ht="15.75" customHeight="1">
      <c r="E45" s="45"/>
      <c r="G45" s="46"/>
      <c r="H45" s="46"/>
      <c r="I45" s="46"/>
      <c r="J45" s="46"/>
      <c r="K45" s="46"/>
      <c r="L45" s="46"/>
      <c r="M45" s="46"/>
      <c r="N45" s="46"/>
      <c r="O45" s="46"/>
    </row>
    <row r="46" ht="15.75" customHeight="1">
      <c r="E46" s="45"/>
      <c r="G46" s="46"/>
      <c r="H46" s="46"/>
      <c r="I46" s="46"/>
      <c r="J46" s="46"/>
      <c r="K46" s="46"/>
      <c r="L46" s="46"/>
      <c r="M46" s="46"/>
      <c r="N46" s="46"/>
      <c r="O46" s="46"/>
    </row>
    <row r="47" ht="15.75" customHeight="1">
      <c r="E47" s="45"/>
      <c r="G47" s="46"/>
      <c r="H47" s="46"/>
      <c r="I47" s="46"/>
      <c r="J47" s="46"/>
      <c r="K47" s="46"/>
      <c r="L47" s="46"/>
      <c r="M47" s="46"/>
      <c r="N47" s="46"/>
      <c r="O47" s="46"/>
    </row>
    <row r="48" ht="15.75" customHeight="1">
      <c r="E48" s="45"/>
      <c r="G48" s="46"/>
      <c r="H48" s="46"/>
      <c r="I48" s="46"/>
      <c r="J48" s="46"/>
      <c r="K48" s="46"/>
      <c r="L48" s="46"/>
      <c r="M48" s="46"/>
      <c r="N48" s="46"/>
      <c r="O48" s="46"/>
    </row>
    <row r="49" ht="15.75" customHeight="1">
      <c r="E49" s="45"/>
      <c r="G49" s="46"/>
      <c r="H49" s="46"/>
      <c r="I49" s="46"/>
      <c r="J49" s="46"/>
      <c r="K49" s="46"/>
      <c r="L49" s="46"/>
      <c r="M49" s="46"/>
      <c r="N49" s="46"/>
      <c r="O49" s="46"/>
    </row>
    <row r="50" ht="15.75" customHeight="1">
      <c r="E50" s="45"/>
      <c r="G50" s="46"/>
      <c r="H50" s="46"/>
      <c r="I50" s="46"/>
      <c r="J50" s="46"/>
      <c r="K50" s="46"/>
      <c r="L50" s="46"/>
      <c r="M50" s="46"/>
      <c r="N50" s="46"/>
      <c r="O50" s="46"/>
    </row>
    <row r="51" ht="15.75" customHeight="1">
      <c r="E51" s="45"/>
      <c r="G51" s="46"/>
      <c r="H51" s="46"/>
      <c r="I51" s="46"/>
      <c r="J51" s="46"/>
      <c r="K51" s="46"/>
      <c r="L51" s="46"/>
      <c r="M51" s="46"/>
      <c r="N51" s="46"/>
      <c r="O51" s="46"/>
    </row>
    <row r="52" ht="15.75" customHeight="1">
      <c r="E52" s="45"/>
      <c r="G52" s="46"/>
      <c r="H52" s="46"/>
      <c r="I52" s="46"/>
      <c r="J52" s="46"/>
      <c r="K52" s="46"/>
      <c r="L52" s="46"/>
      <c r="M52" s="46"/>
      <c r="N52" s="46"/>
      <c r="O52" s="46"/>
    </row>
    <row r="53" ht="15.75" customHeight="1">
      <c r="E53" s="45"/>
      <c r="G53" s="46"/>
      <c r="H53" s="46"/>
      <c r="I53" s="46"/>
      <c r="J53" s="46"/>
      <c r="K53" s="46"/>
      <c r="L53" s="46"/>
      <c r="M53" s="46"/>
      <c r="N53" s="46"/>
      <c r="O53" s="46"/>
    </row>
    <row r="54" ht="15.75" customHeight="1">
      <c r="E54" s="45"/>
      <c r="G54" s="46"/>
      <c r="H54" s="46"/>
      <c r="I54" s="46"/>
      <c r="J54" s="46"/>
      <c r="K54" s="46"/>
      <c r="L54" s="46"/>
      <c r="M54" s="46"/>
      <c r="N54" s="46"/>
      <c r="O54" s="46"/>
    </row>
    <row r="55" ht="15.75" customHeight="1">
      <c r="E55" s="45"/>
      <c r="G55" s="46"/>
      <c r="H55" s="46"/>
      <c r="I55" s="46"/>
      <c r="J55" s="46"/>
      <c r="K55" s="46"/>
      <c r="L55" s="46"/>
      <c r="M55" s="46"/>
      <c r="N55" s="46"/>
      <c r="O55" s="46"/>
    </row>
    <row r="56" ht="15.75" customHeight="1">
      <c r="E56" s="45"/>
      <c r="G56" s="46"/>
      <c r="H56" s="46"/>
      <c r="I56" s="46"/>
      <c r="J56" s="46"/>
      <c r="K56" s="46"/>
      <c r="L56" s="46"/>
      <c r="M56" s="46"/>
      <c r="N56" s="46"/>
      <c r="O56" s="46"/>
    </row>
    <row r="57" ht="15.75" customHeight="1">
      <c r="E57" s="45"/>
      <c r="G57" s="46"/>
      <c r="H57" s="46"/>
      <c r="I57" s="46"/>
      <c r="J57" s="46"/>
      <c r="K57" s="46"/>
      <c r="L57" s="46"/>
      <c r="M57" s="46"/>
      <c r="N57" s="46"/>
      <c r="O57" s="46"/>
    </row>
    <row r="58" ht="15.75" customHeight="1">
      <c r="E58" s="45"/>
      <c r="G58" s="46"/>
      <c r="H58" s="46"/>
      <c r="I58" s="46"/>
      <c r="J58" s="46"/>
      <c r="K58" s="46"/>
      <c r="L58" s="46"/>
      <c r="M58" s="46"/>
      <c r="N58" s="46"/>
      <c r="O58" s="46"/>
    </row>
    <row r="59" ht="15.75" customHeight="1">
      <c r="E59" s="45"/>
      <c r="G59" s="46"/>
      <c r="H59" s="46"/>
      <c r="I59" s="46"/>
      <c r="J59" s="46"/>
      <c r="K59" s="46"/>
      <c r="L59" s="46"/>
      <c r="M59" s="46"/>
      <c r="N59" s="46"/>
      <c r="O59" s="46"/>
    </row>
    <row r="60" ht="15.75" customHeight="1">
      <c r="E60" s="45"/>
      <c r="G60" s="46"/>
      <c r="H60" s="46"/>
      <c r="I60" s="46"/>
      <c r="J60" s="46"/>
      <c r="K60" s="46"/>
      <c r="L60" s="46"/>
      <c r="M60" s="46"/>
      <c r="N60" s="46"/>
      <c r="O60" s="46"/>
    </row>
    <row r="61" ht="15.75" customHeight="1">
      <c r="E61" s="45"/>
      <c r="G61" s="46"/>
      <c r="H61" s="46"/>
      <c r="I61" s="46"/>
      <c r="J61" s="46"/>
      <c r="K61" s="46"/>
      <c r="L61" s="46"/>
      <c r="M61" s="46"/>
      <c r="N61" s="46"/>
      <c r="O61" s="46"/>
    </row>
    <row r="62" ht="15.75" customHeight="1">
      <c r="E62" s="45"/>
      <c r="G62" s="46"/>
      <c r="H62" s="46"/>
      <c r="I62" s="46"/>
      <c r="J62" s="46"/>
      <c r="K62" s="46"/>
      <c r="L62" s="46"/>
      <c r="M62" s="46"/>
      <c r="N62" s="46"/>
      <c r="O62" s="46"/>
    </row>
    <row r="63" ht="15.75" customHeight="1">
      <c r="E63" s="45"/>
      <c r="G63" s="46"/>
      <c r="H63" s="46"/>
      <c r="I63" s="46"/>
      <c r="J63" s="46"/>
      <c r="K63" s="46"/>
      <c r="L63" s="46"/>
      <c r="M63" s="46"/>
      <c r="N63" s="46"/>
      <c r="O63" s="46"/>
    </row>
    <row r="64" ht="15.75" customHeight="1">
      <c r="E64" s="45"/>
      <c r="G64" s="46"/>
      <c r="H64" s="46"/>
      <c r="I64" s="46"/>
      <c r="J64" s="46"/>
      <c r="K64" s="46"/>
      <c r="L64" s="46"/>
      <c r="M64" s="46"/>
      <c r="N64" s="46"/>
      <c r="O64" s="46"/>
    </row>
    <row r="65" ht="15.75" customHeight="1">
      <c r="E65" s="45"/>
      <c r="G65" s="46"/>
      <c r="H65" s="46"/>
      <c r="I65" s="46"/>
      <c r="J65" s="46"/>
      <c r="K65" s="46"/>
      <c r="L65" s="46"/>
      <c r="M65" s="46"/>
      <c r="N65" s="46"/>
      <c r="O65" s="46"/>
    </row>
    <row r="66" ht="15.75" customHeight="1">
      <c r="E66" s="45"/>
      <c r="G66" s="46"/>
      <c r="H66" s="46"/>
      <c r="I66" s="46"/>
      <c r="J66" s="46"/>
      <c r="K66" s="46"/>
      <c r="L66" s="46"/>
      <c r="M66" s="46"/>
      <c r="N66" s="46"/>
      <c r="O66" s="46"/>
    </row>
    <row r="67" ht="15.75" customHeight="1">
      <c r="E67" s="45"/>
      <c r="G67" s="46"/>
      <c r="H67" s="46"/>
      <c r="I67" s="46"/>
      <c r="J67" s="46"/>
      <c r="K67" s="46"/>
      <c r="L67" s="46"/>
      <c r="M67" s="46"/>
      <c r="N67" s="46"/>
      <c r="O67" s="46"/>
    </row>
    <row r="68" ht="15.75" customHeight="1">
      <c r="E68" s="45"/>
      <c r="G68" s="46"/>
      <c r="H68" s="46"/>
      <c r="I68" s="46"/>
      <c r="J68" s="46"/>
      <c r="K68" s="46"/>
      <c r="L68" s="46"/>
      <c r="M68" s="46"/>
      <c r="N68" s="46"/>
      <c r="O68" s="46"/>
    </row>
    <row r="69" ht="15.75" customHeight="1">
      <c r="E69" s="45"/>
      <c r="G69" s="46"/>
      <c r="H69" s="46"/>
      <c r="I69" s="46"/>
      <c r="J69" s="46"/>
      <c r="K69" s="46"/>
      <c r="L69" s="46"/>
      <c r="M69" s="46"/>
      <c r="N69" s="46"/>
      <c r="O69" s="46"/>
    </row>
    <row r="70" ht="15.75" customHeight="1">
      <c r="E70" s="45"/>
      <c r="G70" s="46"/>
      <c r="H70" s="46"/>
      <c r="I70" s="46"/>
      <c r="J70" s="46"/>
      <c r="K70" s="46"/>
      <c r="L70" s="46"/>
      <c r="M70" s="46"/>
      <c r="N70" s="46"/>
      <c r="O70" s="46"/>
    </row>
    <row r="71" ht="15.75" customHeight="1">
      <c r="E71" s="45"/>
      <c r="G71" s="46"/>
      <c r="H71" s="46"/>
      <c r="I71" s="46"/>
      <c r="J71" s="46"/>
      <c r="K71" s="46"/>
      <c r="L71" s="46"/>
      <c r="M71" s="46"/>
      <c r="N71" s="46"/>
      <c r="O71" s="46"/>
    </row>
    <row r="72" ht="15.75" customHeight="1">
      <c r="E72" s="45"/>
      <c r="G72" s="46"/>
      <c r="H72" s="46"/>
      <c r="I72" s="46"/>
      <c r="J72" s="46"/>
      <c r="K72" s="46"/>
      <c r="L72" s="46"/>
      <c r="M72" s="46"/>
      <c r="N72" s="46"/>
      <c r="O72" s="46"/>
    </row>
    <row r="73" ht="15.75" customHeight="1">
      <c r="E73" s="45"/>
      <c r="G73" s="46"/>
      <c r="H73" s="46"/>
      <c r="I73" s="46"/>
      <c r="J73" s="46"/>
      <c r="K73" s="46"/>
      <c r="L73" s="46"/>
      <c r="M73" s="46"/>
      <c r="N73" s="46"/>
      <c r="O73" s="46"/>
    </row>
    <row r="74" ht="15.75" customHeight="1">
      <c r="E74" s="45"/>
      <c r="G74" s="46"/>
      <c r="H74" s="46"/>
      <c r="I74" s="46"/>
      <c r="J74" s="46"/>
      <c r="K74" s="46"/>
      <c r="L74" s="46"/>
      <c r="M74" s="46"/>
      <c r="N74" s="46"/>
      <c r="O74" s="46"/>
    </row>
    <row r="75" ht="15.75" customHeight="1">
      <c r="E75" s="45"/>
      <c r="G75" s="46"/>
      <c r="H75" s="46"/>
      <c r="I75" s="46"/>
      <c r="J75" s="46"/>
      <c r="K75" s="46"/>
      <c r="L75" s="46"/>
      <c r="M75" s="46"/>
      <c r="N75" s="46"/>
      <c r="O75" s="46"/>
    </row>
    <row r="76" ht="15.75" customHeight="1">
      <c r="E76" s="45"/>
      <c r="G76" s="46"/>
      <c r="H76" s="46"/>
      <c r="I76" s="46"/>
      <c r="J76" s="46"/>
      <c r="K76" s="46"/>
      <c r="L76" s="46"/>
      <c r="M76" s="46"/>
      <c r="N76" s="46"/>
      <c r="O76" s="46"/>
    </row>
    <row r="77" ht="15.75" customHeight="1">
      <c r="E77" s="45"/>
      <c r="G77" s="46"/>
      <c r="H77" s="46"/>
      <c r="I77" s="46"/>
      <c r="J77" s="46"/>
      <c r="K77" s="46"/>
      <c r="L77" s="46"/>
      <c r="M77" s="46"/>
      <c r="N77" s="46"/>
      <c r="O77" s="46"/>
    </row>
    <row r="78" ht="15.75" customHeight="1">
      <c r="E78" s="45"/>
      <c r="G78" s="46"/>
      <c r="H78" s="46"/>
      <c r="I78" s="46"/>
      <c r="J78" s="46"/>
      <c r="K78" s="46"/>
      <c r="L78" s="46"/>
      <c r="M78" s="46"/>
      <c r="N78" s="46"/>
      <c r="O78" s="46"/>
    </row>
    <row r="79" ht="15.75" customHeight="1">
      <c r="E79" s="45"/>
      <c r="G79" s="46"/>
      <c r="H79" s="46"/>
      <c r="I79" s="46"/>
      <c r="J79" s="46"/>
      <c r="K79" s="46"/>
      <c r="L79" s="46"/>
      <c r="M79" s="46"/>
      <c r="N79" s="46"/>
      <c r="O79" s="46"/>
    </row>
    <row r="80" ht="15.75" customHeight="1">
      <c r="E80" s="45"/>
      <c r="G80" s="46"/>
      <c r="H80" s="46"/>
      <c r="I80" s="46"/>
      <c r="J80" s="46"/>
      <c r="K80" s="46"/>
      <c r="L80" s="46"/>
      <c r="M80" s="46"/>
      <c r="N80" s="46"/>
      <c r="O80" s="46"/>
    </row>
    <row r="81" ht="15.75" customHeight="1">
      <c r="E81" s="45"/>
      <c r="G81" s="46"/>
      <c r="H81" s="46"/>
      <c r="I81" s="46"/>
      <c r="J81" s="46"/>
      <c r="K81" s="46"/>
      <c r="L81" s="46"/>
      <c r="M81" s="46"/>
      <c r="N81" s="46"/>
      <c r="O81" s="46"/>
    </row>
    <row r="82" ht="15.75" customHeight="1">
      <c r="E82" s="45"/>
      <c r="G82" s="46"/>
      <c r="H82" s="46"/>
      <c r="I82" s="46"/>
      <c r="J82" s="46"/>
      <c r="K82" s="46"/>
      <c r="L82" s="46"/>
      <c r="M82" s="46"/>
      <c r="N82" s="46"/>
      <c r="O82" s="46"/>
    </row>
    <row r="83" ht="15.75" customHeight="1">
      <c r="E83" s="45"/>
      <c r="G83" s="46"/>
      <c r="H83" s="46"/>
      <c r="I83" s="46"/>
      <c r="J83" s="46"/>
      <c r="K83" s="46"/>
      <c r="L83" s="46"/>
      <c r="M83" s="46"/>
      <c r="N83" s="46"/>
      <c r="O83" s="46"/>
    </row>
    <row r="84" ht="15.75" customHeight="1">
      <c r="E84" s="45"/>
      <c r="G84" s="46"/>
      <c r="H84" s="46"/>
      <c r="I84" s="46"/>
      <c r="J84" s="46"/>
      <c r="K84" s="46"/>
      <c r="L84" s="46"/>
      <c r="M84" s="46"/>
      <c r="N84" s="46"/>
      <c r="O84" s="46"/>
    </row>
    <row r="85" ht="15.75" customHeight="1">
      <c r="E85" s="45"/>
      <c r="G85" s="46"/>
      <c r="H85" s="46"/>
      <c r="I85" s="46"/>
      <c r="J85" s="46"/>
      <c r="K85" s="46"/>
      <c r="L85" s="46"/>
      <c r="M85" s="46"/>
      <c r="N85" s="46"/>
      <c r="O85" s="46"/>
    </row>
    <row r="86" ht="15.75" customHeight="1">
      <c r="E86" s="45"/>
      <c r="G86" s="46"/>
      <c r="H86" s="46"/>
      <c r="I86" s="46"/>
      <c r="J86" s="46"/>
      <c r="K86" s="46"/>
      <c r="L86" s="46"/>
      <c r="M86" s="46"/>
      <c r="N86" s="46"/>
      <c r="O86" s="46"/>
    </row>
    <row r="87" ht="15.75" customHeight="1">
      <c r="E87" s="45"/>
      <c r="G87" s="46"/>
      <c r="H87" s="46"/>
      <c r="I87" s="46"/>
      <c r="J87" s="46"/>
      <c r="K87" s="46"/>
      <c r="L87" s="46"/>
      <c r="M87" s="46"/>
      <c r="N87" s="46"/>
      <c r="O87" s="46"/>
    </row>
    <row r="88" ht="15.75" customHeight="1">
      <c r="E88" s="45"/>
      <c r="G88" s="46"/>
      <c r="H88" s="46"/>
      <c r="I88" s="46"/>
      <c r="J88" s="46"/>
      <c r="K88" s="46"/>
      <c r="L88" s="46"/>
      <c r="M88" s="46"/>
      <c r="N88" s="46"/>
      <c r="O88" s="46"/>
    </row>
    <row r="89" ht="15.75" customHeight="1">
      <c r="E89" s="45"/>
      <c r="G89" s="46"/>
      <c r="H89" s="46"/>
      <c r="I89" s="46"/>
      <c r="J89" s="46"/>
      <c r="K89" s="46"/>
      <c r="L89" s="46"/>
      <c r="M89" s="46"/>
      <c r="N89" s="46"/>
      <c r="O89" s="46"/>
    </row>
    <row r="90" ht="15.75" customHeight="1">
      <c r="E90" s="45"/>
      <c r="G90" s="46"/>
      <c r="H90" s="46"/>
      <c r="I90" s="46"/>
      <c r="J90" s="46"/>
      <c r="K90" s="46"/>
      <c r="L90" s="46"/>
      <c r="M90" s="46"/>
      <c r="N90" s="46"/>
      <c r="O90" s="46"/>
    </row>
    <row r="91" ht="15.75" customHeight="1">
      <c r="E91" s="45"/>
      <c r="G91" s="46"/>
      <c r="H91" s="46"/>
      <c r="I91" s="46"/>
      <c r="J91" s="46"/>
      <c r="K91" s="46"/>
      <c r="L91" s="46"/>
      <c r="M91" s="46"/>
      <c r="N91" s="46"/>
      <c r="O91" s="46"/>
    </row>
    <row r="92" ht="15.75" customHeight="1">
      <c r="E92" s="45"/>
      <c r="G92" s="46"/>
      <c r="H92" s="46"/>
      <c r="I92" s="46"/>
      <c r="J92" s="46"/>
      <c r="K92" s="46"/>
      <c r="L92" s="46"/>
      <c r="M92" s="46"/>
      <c r="N92" s="46"/>
      <c r="O92" s="46"/>
    </row>
    <row r="93" ht="15.75" customHeight="1">
      <c r="E93" s="45"/>
      <c r="G93" s="46"/>
      <c r="H93" s="46"/>
      <c r="I93" s="46"/>
      <c r="J93" s="46"/>
      <c r="K93" s="46"/>
      <c r="L93" s="46"/>
      <c r="M93" s="46"/>
      <c r="N93" s="46"/>
      <c r="O93" s="46"/>
    </row>
    <row r="94" ht="15.75" customHeight="1">
      <c r="E94" s="45"/>
      <c r="G94" s="46"/>
      <c r="H94" s="46"/>
      <c r="I94" s="46"/>
      <c r="J94" s="46"/>
      <c r="K94" s="46"/>
      <c r="L94" s="46"/>
      <c r="M94" s="46"/>
      <c r="N94" s="46"/>
      <c r="O94" s="46"/>
    </row>
    <row r="95" ht="15.75" customHeight="1">
      <c r="E95" s="45"/>
      <c r="G95" s="46"/>
      <c r="H95" s="46"/>
      <c r="I95" s="46"/>
      <c r="J95" s="46"/>
      <c r="K95" s="46"/>
      <c r="L95" s="46"/>
      <c r="M95" s="46"/>
      <c r="N95" s="46"/>
      <c r="O95" s="46"/>
    </row>
    <row r="96" ht="15.75" customHeight="1">
      <c r="E96" s="45"/>
      <c r="G96" s="46"/>
      <c r="H96" s="46"/>
      <c r="I96" s="46"/>
      <c r="J96" s="46"/>
      <c r="K96" s="46"/>
      <c r="L96" s="46"/>
      <c r="M96" s="46"/>
      <c r="N96" s="46"/>
      <c r="O96" s="46"/>
    </row>
    <row r="97" ht="15.75" customHeight="1">
      <c r="E97" s="45"/>
      <c r="G97" s="46"/>
      <c r="H97" s="46"/>
      <c r="I97" s="46"/>
      <c r="J97" s="46"/>
      <c r="K97" s="46"/>
      <c r="L97" s="46"/>
      <c r="M97" s="46"/>
      <c r="N97" s="46"/>
      <c r="O97" s="46"/>
    </row>
    <row r="98" ht="15.75" customHeight="1">
      <c r="E98" s="45"/>
      <c r="G98" s="46"/>
      <c r="H98" s="46"/>
      <c r="I98" s="46"/>
      <c r="J98" s="46"/>
      <c r="K98" s="46"/>
      <c r="L98" s="46"/>
      <c r="M98" s="46"/>
      <c r="N98" s="46"/>
      <c r="O98" s="46"/>
    </row>
    <row r="99" ht="15.75" customHeight="1">
      <c r="E99" s="45"/>
      <c r="G99" s="46"/>
      <c r="H99" s="46"/>
      <c r="I99" s="46"/>
      <c r="J99" s="46"/>
      <c r="K99" s="46"/>
      <c r="L99" s="46"/>
      <c r="M99" s="46"/>
      <c r="N99" s="46"/>
      <c r="O99" s="46"/>
    </row>
    <row r="100" ht="15.75" customHeight="1">
      <c r="E100" s="45"/>
      <c r="G100" s="46"/>
      <c r="H100" s="46"/>
      <c r="I100" s="46"/>
      <c r="J100" s="46"/>
      <c r="K100" s="46"/>
      <c r="L100" s="46"/>
      <c r="M100" s="46"/>
      <c r="N100" s="46"/>
      <c r="O100" s="46"/>
    </row>
    <row r="101" ht="15.75" customHeight="1">
      <c r="E101" s="45"/>
      <c r="G101" s="46"/>
      <c r="H101" s="46"/>
      <c r="I101" s="46"/>
      <c r="J101" s="46"/>
      <c r="K101" s="46"/>
      <c r="L101" s="46"/>
      <c r="M101" s="46"/>
      <c r="N101" s="46"/>
      <c r="O101" s="46"/>
    </row>
    <row r="102" ht="15.75" customHeight="1">
      <c r="E102" s="45"/>
      <c r="G102" s="46"/>
      <c r="H102" s="46"/>
      <c r="I102" s="46"/>
      <c r="J102" s="46"/>
      <c r="K102" s="46"/>
      <c r="L102" s="46"/>
      <c r="M102" s="46"/>
      <c r="N102" s="46"/>
      <c r="O102" s="46"/>
    </row>
    <row r="103" ht="15.75" customHeight="1">
      <c r="E103" s="45"/>
      <c r="G103" s="46"/>
      <c r="H103" s="46"/>
      <c r="I103" s="46"/>
      <c r="J103" s="46"/>
      <c r="K103" s="46"/>
      <c r="L103" s="46"/>
      <c r="M103" s="46"/>
      <c r="N103" s="46"/>
      <c r="O103" s="46"/>
    </row>
    <row r="104" ht="15.75" customHeight="1">
      <c r="E104" s="45"/>
      <c r="G104" s="46"/>
      <c r="H104" s="46"/>
      <c r="I104" s="46"/>
      <c r="J104" s="46"/>
      <c r="K104" s="46"/>
      <c r="L104" s="46"/>
      <c r="M104" s="46"/>
      <c r="N104" s="46"/>
      <c r="O104" s="46"/>
    </row>
    <row r="105" ht="15.75" customHeight="1">
      <c r="E105" s="45"/>
      <c r="G105" s="46"/>
      <c r="H105" s="46"/>
      <c r="I105" s="46"/>
      <c r="J105" s="46"/>
      <c r="K105" s="46"/>
      <c r="L105" s="46"/>
      <c r="M105" s="46"/>
      <c r="N105" s="46"/>
      <c r="O105" s="46"/>
    </row>
    <row r="106" ht="15.75" customHeight="1">
      <c r="E106" s="45"/>
      <c r="G106" s="46"/>
      <c r="H106" s="46"/>
      <c r="I106" s="46"/>
      <c r="J106" s="46"/>
      <c r="K106" s="46"/>
      <c r="L106" s="46"/>
      <c r="M106" s="46"/>
      <c r="N106" s="46"/>
      <c r="O106" s="46"/>
    </row>
    <row r="107" ht="15.75" customHeight="1">
      <c r="E107" s="45"/>
      <c r="G107" s="46"/>
      <c r="H107" s="46"/>
      <c r="I107" s="46"/>
      <c r="J107" s="46"/>
      <c r="K107" s="46"/>
      <c r="L107" s="46"/>
      <c r="M107" s="46"/>
      <c r="N107" s="46"/>
      <c r="O107" s="46"/>
    </row>
    <row r="108" ht="15.75" customHeight="1">
      <c r="E108" s="45"/>
      <c r="G108" s="46"/>
      <c r="H108" s="46"/>
      <c r="I108" s="46"/>
      <c r="J108" s="46"/>
      <c r="K108" s="46"/>
      <c r="L108" s="46"/>
      <c r="M108" s="46"/>
      <c r="N108" s="46"/>
      <c r="O108" s="46"/>
    </row>
    <row r="109" ht="15.75" customHeight="1">
      <c r="E109" s="45"/>
      <c r="G109" s="46"/>
      <c r="H109" s="46"/>
      <c r="I109" s="46"/>
      <c r="J109" s="46"/>
      <c r="K109" s="46"/>
      <c r="L109" s="46"/>
      <c r="M109" s="46"/>
      <c r="N109" s="46"/>
      <c r="O109" s="46"/>
    </row>
    <row r="110" ht="15.75" customHeight="1">
      <c r="E110" s="45"/>
      <c r="G110" s="46"/>
      <c r="H110" s="46"/>
      <c r="I110" s="46"/>
      <c r="J110" s="46"/>
      <c r="K110" s="46"/>
      <c r="L110" s="46"/>
      <c r="M110" s="46"/>
      <c r="N110" s="46"/>
      <c r="O110" s="46"/>
    </row>
    <row r="111" ht="15.75" customHeight="1">
      <c r="E111" s="45"/>
      <c r="G111" s="46"/>
      <c r="H111" s="46"/>
      <c r="I111" s="46"/>
      <c r="J111" s="46"/>
      <c r="K111" s="46"/>
      <c r="L111" s="46"/>
      <c r="M111" s="46"/>
      <c r="N111" s="46"/>
      <c r="O111" s="46"/>
    </row>
    <row r="112" ht="15.75" customHeight="1">
      <c r="E112" s="45"/>
      <c r="G112" s="46"/>
      <c r="H112" s="46"/>
      <c r="I112" s="46"/>
      <c r="J112" s="46"/>
      <c r="K112" s="46"/>
      <c r="L112" s="46"/>
      <c r="M112" s="46"/>
      <c r="N112" s="46"/>
      <c r="O112" s="46"/>
    </row>
    <row r="113" ht="15.75" customHeight="1">
      <c r="E113" s="45"/>
      <c r="G113" s="46"/>
      <c r="H113" s="46"/>
      <c r="I113" s="46"/>
      <c r="J113" s="46"/>
      <c r="K113" s="46"/>
      <c r="L113" s="46"/>
      <c r="M113" s="46"/>
      <c r="N113" s="46"/>
      <c r="O113" s="46"/>
    </row>
    <row r="114" ht="15.75" customHeight="1">
      <c r="E114" s="45"/>
      <c r="G114" s="46"/>
      <c r="H114" s="46"/>
      <c r="I114" s="46"/>
      <c r="J114" s="46"/>
      <c r="K114" s="46"/>
      <c r="L114" s="46"/>
      <c r="M114" s="46"/>
      <c r="N114" s="46"/>
      <c r="O114" s="46"/>
    </row>
    <row r="115" ht="15.75" customHeight="1">
      <c r="E115" s="45"/>
      <c r="G115" s="46"/>
      <c r="H115" s="46"/>
      <c r="I115" s="46"/>
      <c r="J115" s="46"/>
      <c r="K115" s="46"/>
      <c r="L115" s="46"/>
      <c r="M115" s="46"/>
      <c r="N115" s="46"/>
      <c r="O115" s="46"/>
    </row>
    <row r="116" ht="15.75" customHeight="1">
      <c r="E116" s="45"/>
      <c r="G116" s="46"/>
      <c r="H116" s="46"/>
      <c r="I116" s="46"/>
      <c r="J116" s="46"/>
      <c r="K116" s="46"/>
      <c r="L116" s="46"/>
      <c r="M116" s="46"/>
      <c r="N116" s="46"/>
      <c r="O116" s="46"/>
    </row>
    <row r="117" ht="15.75" customHeight="1">
      <c r="E117" s="45"/>
      <c r="G117" s="46"/>
      <c r="H117" s="46"/>
      <c r="I117" s="46"/>
      <c r="J117" s="46"/>
      <c r="K117" s="46"/>
      <c r="L117" s="46"/>
      <c r="M117" s="46"/>
      <c r="N117" s="46"/>
      <c r="O117" s="46"/>
    </row>
    <row r="118" ht="15.75" customHeight="1">
      <c r="E118" s="45"/>
      <c r="G118" s="46"/>
      <c r="H118" s="46"/>
      <c r="I118" s="46"/>
      <c r="J118" s="46"/>
      <c r="K118" s="46"/>
      <c r="L118" s="46"/>
      <c r="M118" s="46"/>
      <c r="N118" s="46"/>
      <c r="O118" s="46"/>
    </row>
    <row r="119" ht="15.75" customHeight="1">
      <c r="E119" s="45"/>
      <c r="G119" s="46"/>
      <c r="H119" s="46"/>
      <c r="I119" s="46"/>
      <c r="J119" s="46"/>
      <c r="K119" s="46"/>
      <c r="L119" s="46"/>
      <c r="M119" s="46"/>
      <c r="N119" s="46"/>
      <c r="O119" s="46"/>
    </row>
    <row r="120" ht="15.75" customHeight="1">
      <c r="E120" s="45"/>
      <c r="G120" s="46"/>
      <c r="H120" s="46"/>
      <c r="I120" s="46"/>
      <c r="J120" s="46"/>
      <c r="K120" s="46"/>
      <c r="L120" s="46"/>
      <c r="M120" s="46"/>
      <c r="N120" s="46"/>
      <c r="O120" s="46"/>
    </row>
    <row r="121" ht="15.75" customHeight="1">
      <c r="E121" s="45"/>
      <c r="G121" s="46"/>
      <c r="H121" s="46"/>
      <c r="I121" s="46"/>
      <c r="J121" s="46"/>
      <c r="K121" s="46"/>
      <c r="L121" s="46"/>
      <c r="M121" s="46"/>
      <c r="N121" s="46"/>
      <c r="O121" s="46"/>
    </row>
    <row r="122" ht="15.75" customHeight="1">
      <c r="E122" s="45"/>
      <c r="G122" s="46"/>
      <c r="H122" s="46"/>
      <c r="I122" s="46"/>
      <c r="J122" s="46"/>
      <c r="K122" s="46"/>
      <c r="L122" s="46"/>
      <c r="M122" s="46"/>
      <c r="N122" s="46"/>
      <c r="O122" s="46"/>
    </row>
    <row r="123" ht="15.75" customHeight="1">
      <c r="E123" s="45"/>
      <c r="G123" s="46"/>
      <c r="H123" s="46"/>
      <c r="I123" s="46"/>
      <c r="J123" s="46"/>
      <c r="K123" s="46"/>
      <c r="L123" s="46"/>
      <c r="M123" s="46"/>
      <c r="N123" s="46"/>
      <c r="O123" s="46"/>
    </row>
    <row r="124" ht="15.75" customHeight="1">
      <c r="E124" s="45"/>
      <c r="G124" s="46"/>
      <c r="H124" s="46"/>
      <c r="I124" s="46"/>
      <c r="J124" s="46"/>
      <c r="K124" s="46"/>
      <c r="L124" s="46"/>
      <c r="M124" s="46"/>
      <c r="N124" s="46"/>
      <c r="O124" s="46"/>
    </row>
    <row r="125" ht="15.75" customHeight="1">
      <c r="E125" s="45"/>
      <c r="G125" s="46"/>
      <c r="H125" s="46"/>
      <c r="I125" s="46"/>
      <c r="J125" s="46"/>
      <c r="K125" s="46"/>
      <c r="L125" s="46"/>
      <c r="M125" s="46"/>
      <c r="N125" s="46"/>
      <c r="O125" s="46"/>
    </row>
    <row r="126" ht="15.75" customHeight="1">
      <c r="E126" s="45"/>
      <c r="G126" s="46"/>
      <c r="H126" s="46"/>
      <c r="I126" s="46"/>
      <c r="J126" s="46"/>
      <c r="K126" s="46"/>
      <c r="L126" s="46"/>
      <c r="M126" s="46"/>
      <c r="N126" s="46"/>
      <c r="O126" s="46"/>
    </row>
    <row r="127" ht="15.75" customHeight="1">
      <c r="E127" s="45"/>
      <c r="G127" s="46"/>
      <c r="H127" s="46"/>
      <c r="I127" s="46"/>
      <c r="J127" s="46"/>
      <c r="K127" s="46"/>
      <c r="L127" s="46"/>
      <c r="M127" s="46"/>
      <c r="N127" s="46"/>
      <c r="O127" s="46"/>
    </row>
    <row r="128" ht="15.75" customHeight="1">
      <c r="E128" s="45"/>
      <c r="G128" s="46"/>
      <c r="H128" s="46"/>
      <c r="I128" s="46"/>
      <c r="J128" s="46"/>
      <c r="K128" s="46"/>
      <c r="L128" s="46"/>
      <c r="M128" s="46"/>
      <c r="N128" s="46"/>
      <c r="O128" s="46"/>
    </row>
    <row r="129" ht="15.75" customHeight="1">
      <c r="E129" s="45"/>
      <c r="G129" s="46"/>
      <c r="H129" s="46"/>
      <c r="I129" s="46"/>
      <c r="J129" s="46"/>
      <c r="K129" s="46"/>
      <c r="L129" s="46"/>
      <c r="M129" s="46"/>
      <c r="N129" s="46"/>
      <c r="O129" s="46"/>
    </row>
    <row r="130" ht="15.75" customHeight="1">
      <c r="E130" s="45"/>
      <c r="G130" s="46"/>
      <c r="H130" s="46"/>
      <c r="I130" s="46"/>
      <c r="J130" s="46"/>
      <c r="K130" s="46"/>
      <c r="L130" s="46"/>
      <c r="M130" s="46"/>
      <c r="N130" s="46"/>
      <c r="O130" s="46"/>
    </row>
    <row r="131" ht="15.75" customHeight="1">
      <c r="E131" s="45"/>
      <c r="G131" s="46"/>
      <c r="H131" s="46"/>
      <c r="I131" s="46"/>
      <c r="J131" s="46"/>
      <c r="K131" s="46"/>
      <c r="L131" s="46"/>
      <c r="M131" s="46"/>
      <c r="N131" s="46"/>
      <c r="O131" s="46"/>
    </row>
    <row r="132" ht="15.75" customHeight="1">
      <c r="E132" s="45"/>
      <c r="G132" s="46"/>
      <c r="H132" s="46"/>
      <c r="I132" s="46"/>
      <c r="J132" s="46"/>
      <c r="K132" s="46"/>
      <c r="L132" s="46"/>
      <c r="M132" s="46"/>
      <c r="N132" s="46"/>
      <c r="O132" s="46"/>
    </row>
    <row r="133" ht="15.75" customHeight="1">
      <c r="E133" s="45"/>
      <c r="G133" s="46"/>
      <c r="H133" s="46"/>
      <c r="I133" s="46"/>
      <c r="J133" s="46"/>
      <c r="K133" s="46"/>
      <c r="L133" s="46"/>
      <c r="M133" s="46"/>
      <c r="N133" s="46"/>
      <c r="O133" s="46"/>
    </row>
    <row r="134" ht="15.75" customHeight="1">
      <c r="E134" s="45"/>
      <c r="G134" s="46"/>
      <c r="H134" s="46"/>
      <c r="I134" s="46"/>
      <c r="J134" s="46"/>
      <c r="K134" s="46"/>
      <c r="L134" s="46"/>
      <c r="M134" s="46"/>
      <c r="N134" s="46"/>
      <c r="O134" s="46"/>
    </row>
    <row r="135" ht="15.75" customHeight="1">
      <c r="E135" s="45"/>
      <c r="G135" s="46"/>
      <c r="H135" s="46"/>
      <c r="I135" s="46"/>
      <c r="J135" s="46"/>
      <c r="K135" s="46"/>
      <c r="L135" s="46"/>
      <c r="M135" s="46"/>
      <c r="N135" s="46"/>
      <c r="O135" s="46"/>
    </row>
    <row r="136" ht="15.75" customHeight="1">
      <c r="E136" s="45"/>
      <c r="G136" s="46"/>
      <c r="H136" s="46"/>
      <c r="I136" s="46"/>
      <c r="J136" s="46"/>
      <c r="K136" s="46"/>
      <c r="L136" s="46"/>
      <c r="M136" s="46"/>
      <c r="N136" s="46"/>
      <c r="O136" s="46"/>
    </row>
    <row r="137" ht="15.75" customHeight="1">
      <c r="E137" s="45"/>
      <c r="G137" s="46"/>
      <c r="H137" s="46"/>
      <c r="I137" s="46"/>
      <c r="J137" s="46"/>
      <c r="K137" s="46"/>
      <c r="L137" s="46"/>
      <c r="M137" s="46"/>
      <c r="N137" s="46"/>
      <c r="O137" s="46"/>
    </row>
    <row r="138" ht="15.75" customHeight="1">
      <c r="E138" s="45"/>
      <c r="G138" s="46"/>
      <c r="H138" s="46"/>
      <c r="I138" s="46"/>
      <c r="J138" s="46"/>
      <c r="K138" s="46"/>
      <c r="L138" s="46"/>
      <c r="M138" s="46"/>
      <c r="N138" s="46"/>
      <c r="O138" s="46"/>
    </row>
    <row r="139" ht="15.75" customHeight="1">
      <c r="E139" s="45"/>
      <c r="G139" s="46"/>
      <c r="H139" s="46"/>
      <c r="I139" s="46"/>
      <c r="J139" s="46"/>
      <c r="K139" s="46"/>
      <c r="L139" s="46"/>
      <c r="M139" s="46"/>
      <c r="N139" s="46"/>
      <c r="O139" s="46"/>
    </row>
    <row r="140" ht="15.75" customHeight="1">
      <c r="E140" s="45"/>
      <c r="G140" s="46"/>
      <c r="H140" s="46"/>
      <c r="I140" s="46"/>
      <c r="J140" s="46"/>
      <c r="K140" s="46"/>
      <c r="L140" s="46"/>
      <c r="M140" s="46"/>
      <c r="N140" s="46"/>
      <c r="O140" s="46"/>
    </row>
    <row r="141" ht="15.75" customHeight="1">
      <c r="E141" s="45"/>
      <c r="G141" s="46"/>
      <c r="H141" s="46"/>
      <c r="I141" s="46"/>
      <c r="J141" s="46"/>
      <c r="K141" s="46"/>
      <c r="L141" s="46"/>
      <c r="M141" s="46"/>
      <c r="N141" s="46"/>
      <c r="O141" s="46"/>
    </row>
    <row r="142" ht="15.75" customHeight="1">
      <c r="E142" s="45"/>
      <c r="G142" s="46"/>
      <c r="H142" s="46"/>
      <c r="I142" s="46"/>
      <c r="J142" s="46"/>
      <c r="K142" s="46"/>
      <c r="L142" s="46"/>
      <c r="M142" s="46"/>
      <c r="N142" s="46"/>
      <c r="O142" s="46"/>
    </row>
    <row r="143" ht="15.75" customHeight="1">
      <c r="E143" s="45"/>
      <c r="G143" s="46"/>
      <c r="H143" s="46"/>
      <c r="I143" s="46"/>
      <c r="J143" s="46"/>
      <c r="K143" s="46"/>
      <c r="L143" s="46"/>
      <c r="M143" s="46"/>
      <c r="N143" s="46"/>
      <c r="O143" s="46"/>
    </row>
    <row r="144" ht="15.75" customHeight="1">
      <c r="E144" s="45"/>
      <c r="G144" s="46"/>
      <c r="H144" s="46"/>
      <c r="I144" s="46"/>
      <c r="J144" s="46"/>
      <c r="K144" s="46"/>
      <c r="L144" s="46"/>
      <c r="M144" s="46"/>
      <c r="N144" s="46"/>
      <c r="O144" s="46"/>
    </row>
    <row r="145" ht="15.75" customHeight="1">
      <c r="E145" s="45"/>
      <c r="G145" s="46"/>
      <c r="H145" s="46"/>
      <c r="I145" s="46"/>
      <c r="J145" s="46"/>
      <c r="K145" s="46"/>
      <c r="L145" s="46"/>
      <c r="M145" s="46"/>
      <c r="N145" s="46"/>
      <c r="O145" s="46"/>
    </row>
    <row r="146" ht="15.75" customHeight="1">
      <c r="E146" s="45"/>
      <c r="G146" s="46"/>
      <c r="H146" s="46"/>
      <c r="I146" s="46"/>
      <c r="J146" s="46"/>
      <c r="K146" s="46"/>
      <c r="L146" s="46"/>
      <c r="M146" s="46"/>
      <c r="N146" s="46"/>
      <c r="O146" s="46"/>
    </row>
    <row r="147" ht="15.75" customHeight="1">
      <c r="E147" s="45"/>
      <c r="G147" s="46"/>
      <c r="H147" s="46"/>
      <c r="I147" s="46"/>
      <c r="J147" s="46"/>
      <c r="K147" s="46"/>
      <c r="L147" s="46"/>
      <c r="M147" s="46"/>
      <c r="N147" s="46"/>
      <c r="O147" s="46"/>
    </row>
    <row r="148" ht="15.75" customHeight="1">
      <c r="E148" s="45"/>
      <c r="G148" s="46"/>
      <c r="H148" s="46"/>
      <c r="I148" s="46"/>
      <c r="J148" s="46"/>
      <c r="K148" s="46"/>
      <c r="L148" s="46"/>
      <c r="M148" s="46"/>
      <c r="N148" s="46"/>
      <c r="O148" s="46"/>
    </row>
    <row r="149" ht="15.75" customHeight="1">
      <c r="E149" s="45"/>
      <c r="G149" s="46"/>
      <c r="H149" s="46"/>
      <c r="I149" s="46"/>
      <c r="J149" s="46"/>
      <c r="K149" s="46"/>
      <c r="L149" s="46"/>
      <c r="M149" s="46"/>
      <c r="N149" s="46"/>
      <c r="O149" s="46"/>
    </row>
    <row r="150" ht="15.75" customHeight="1">
      <c r="E150" s="45"/>
      <c r="G150" s="46"/>
      <c r="H150" s="46"/>
      <c r="I150" s="46"/>
      <c r="J150" s="46"/>
      <c r="K150" s="46"/>
      <c r="L150" s="46"/>
      <c r="M150" s="46"/>
      <c r="N150" s="46"/>
      <c r="O150" s="46"/>
    </row>
    <row r="151" ht="15.75" customHeight="1">
      <c r="E151" s="45"/>
      <c r="G151" s="46"/>
      <c r="H151" s="46"/>
      <c r="I151" s="46"/>
      <c r="J151" s="46"/>
      <c r="K151" s="46"/>
      <c r="L151" s="46"/>
      <c r="M151" s="46"/>
      <c r="N151" s="46"/>
      <c r="O151" s="46"/>
    </row>
    <row r="152" ht="15.75" customHeight="1">
      <c r="E152" s="45"/>
      <c r="G152" s="46"/>
      <c r="H152" s="46"/>
      <c r="I152" s="46"/>
      <c r="J152" s="46"/>
      <c r="K152" s="46"/>
      <c r="L152" s="46"/>
      <c r="M152" s="46"/>
      <c r="N152" s="46"/>
      <c r="O152" s="46"/>
    </row>
    <row r="153" ht="15.75" customHeight="1">
      <c r="E153" s="45"/>
      <c r="G153" s="46"/>
      <c r="H153" s="46"/>
      <c r="I153" s="46"/>
      <c r="J153" s="46"/>
      <c r="K153" s="46"/>
      <c r="L153" s="46"/>
      <c r="M153" s="46"/>
      <c r="N153" s="46"/>
      <c r="O153" s="46"/>
    </row>
    <row r="154" ht="15.75" customHeight="1">
      <c r="E154" s="45"/>
      <c r="G154" s="46"/>
      <c r="H154" s="46"/>
      <c r="I154" s="46"/>
      <c r="J154" s="46"/>
      <c r="K154" s="46"/>
      <c r="L154" s="46"/>
      <c r="M154" s="46"/>
      <c r="N154" s="46"/>
      <c r="O154" s="46"/>
    </row>
    <row r="155" ht="15.75" customHeight="1">
      <c r="E155" s="45"/>
      <c r="G155" s="46"/>
      <c r="H155" s="46"/>
      <c r="I155" s="46"/>
      <c r="J155" s="46"/>
      <c r="K155" s="46"/>
      <c r="L155" s="46"/>
      <c r="M155" s="46"/>
      <c r="N155" s="46"/>
      <c r="O155" s="46"/>
    </row>
    <row r="156" ht="15.75" customHeight="1">
      <c r="E156" s="45"/>
      <c r="G156" s="46"/>
      <c r="H156" s="46"/>
      <c r="I156" s="46"/>
      <c r="J156" s="46"/>
      <c r="K156" s="46"/>
      <c r="L156" s="46"/>
      <c r="M156" s="46"/>
      <c r="N156" s="46"/>
      <c r="O156" s="46"/>
    </row>
    <row r="157" ht="15.75" customHeight="1">
      <c r="E157" s="45"/>
      <c r="G157" s="46"/>
      <c r="H157" s="46"/>
      <c r="I157" s="46"/>
      <c r="J157" s="46"/>
      <c r="K157" s="46"/>
      <c r="L157" s="46"/>
      <c r="M157" s="46"/>
      <c r="N157" s="46"/>
      <c r="O157" s="46"/>
    </row>
    <row r="158" ht="15.75" customHeight="1">
      <c r="E158" s="45"/>
      <c r="G158" s="46"/>
      <c r="H158" s="46"/>
      <c r="I158" s="46"/>
      <c r="J158" s="46"/>
      <c r="K158" s="46"/>
      <c r="L158" s="46"/>
      <c r="M158" s="46"/>
      <c r="N158" s="46"/>
      <c r="O158" s="46"/>
    </row>
    <row r="159" ht="15.75" customHeight="1">
      <c r="E159" s="45"/>
      <c r="G159" s="46"/>
      <c r="H159" s="46"/>
      <c r="I159" s="46"/>
      <c r="J159" s="46"/>
      <c r="K159" s="46"/>
      <c r="L159" s="46"/>
      <c r="M159" s="46"/>
      <c r="N159" s="46"/>
      <c r="O159" s="46"/>
    </row>
    <row r="160" ht="15.75" customHeight="1">
      <c r="E160" s="45"/>
      <c r="G160" s="46"/>
      <c r="H160" s="46"/>
      <c r="I160" s="46"/>
      <c r="J160" s="46"/>
      <c r="K160" s="46"/>
      <c r="L160" s="46"/>
      <c r="M160" s="46"/>
      <c r="N160" s="46"/>
      <c r="O160" s="46"/>
    </row>
    <row r="161" ht="15.75" customHeight="1">
      <c r="E161" s="45"/>
      <c r="G161" s="46"/>
      <c r="H161" s="46"/>
      <c r="I161" s="46"/>
      <c r="J161" s="46"/>
      <c r="K161" s="46"/>
      <c r="L161" s="46"/>
      <c r="M161" s="46"/>
      <c r="N161" s="46"/>
      <c r="O161" s="46"/>
    </row>
    <row r="162" ht="15.75" customHeight="1">
      <c r="E162" s="45"/>
      <c r="G162" s="46"/>
      <c r="H162" s="46"/>
      <c r="I162" s="46"/>
      <c r="J162" s="46"/>
      <c r="K162" s="46"/>
      <c r="L162" s="46"/>
      <c r="M162" s="46"/>
      <c r="N162" s="46"/>
      <c r="O162" s="46"/>
    </row>
    <row r="163" ht="15.75" customHeight="1">
      <c r="E163" s="45"/>
      <c r="G163" s="46"/>
      <c r="H163" s="46"/>
      <c r="I163" s="46"/>
      <c r="J163" s="46"/>
      <c r="K163" s="46"/>
      <c r="L163" s="46"/>
      <c r="M163" s="46"/>
      <c r="N163" s="46"/>
      <c r="O163" s="46"/>
    </row>
    <row r="164" ht="15.75" customHeight="1">
      <c r="E164" s="45"/>
      <c r="G164" s="46"/>
      <c r="H164" s="46"/>
      <c r="I164" s="46"/>
      <c r="J164" s="46"/>
      <c r="K164" s="46"/>
      <c r="L164" s="46"/>
      <c r="M164" s="46"/>
      <c r="N164" s="46"/>
      <c r="O164" s="46"/>
    </row>
    <row r="165" ht="15.75" customHeight="1">
      <c r="E165" s="45"/>
      <c r="G165" s="46"/>
      <c r="H165" s="46"/>
      <c r="I165" s="46"/>
      <c r="J165" s="46"/>
      <c r="K165" s="46"/>
      <c r="L165" s="46"/>
      <c r="M165" s="46"/>
      <c r="N165" s="46"/>
      <c r="O165" s="46"/>
    </row>
    <row r="166" ht="15.75" customHeight="1">
      <c r="E166" s="45"/>
      <c r="G166" s="46"/>
      <c r="H166" s="46"/>
      <c r="I166" s="46"/>
      <c r="J166" s="46"/>
      <c r="K166" s="46"/>
      <c r="L166" s="46"/>
      <c r="M166" s="46"/>
      <c r="N166" s="46"/>
      <c r="O166" s="46"/>
    </row>
    <row r="167" ht="15.75" customHeight="1">
      <c r="E167" s="45"/>
      <c r="G167" s="46"/>
      <c r="H167" s="46"/>
      <c r="I167" s="46"/>
      <c r="J167" s="46"/>
      <c r="K167" s="46"/>
      <c r="L167" s="46"/>
      <c r="M167" s="46"/>
      <c r="N167" s="46"/>
      <c r="O167" s="46"/>
    </row>
    <row r="168" ht="15.75" customHeight="1">
      <c r="E168" s="45"/>
      <c r="G168" s="46"/>
      <c r="H168" s="46"/>
      <c r="I168" s="46"/>
      <c r="J168" s="46"/>
      <c r="K168" s="46"/>
      <c r="L168" s="46"/>
      <c r="M168" s="46"/>
      <c r="N168" s="46"/>
      <c r="O168" s="46"/>
    </row>
    <row r="169" ht="15.75" customHeight="1">
      <c r="E169" s="45"/>
      <c r="G169" s="46"/>
      <c r="H169" s="46"/>
      <c r="I169" s="46"/>
      <c r="J169" s="46"/>
      <c r="K169" s="46"/>
      <c r="L169" s="46"/>
      <c r="M169" s="46"/>
      <c r="N169" s="46"/>
      <c r="O169" s="46"/>
    </row>
    <row r="170" ht="15.75" customHeight="1">
      <c r="E170" s="45"/>
      <c r="G170" s="46"/>
      <c r="H170" s="46"/>
      <c r="I170" s="46"/>
      <c r="J170" s="46"/>
      <c r="K170" s="46"/>
      <c r="L170" s="46"/>
      <c r="M170" s="46"/>
      <c r="N170" s="46"/>
      <c r="O170" s="46"/>
    </row>
    <row r="171" ht="15.75" customHeight="1">
      <c r="E171" s="45"/>
      <c r="G171" s="46"/>
      <c r="H171" s="46"/>
      <c r="I171" s="46"/>
      <c r="J171" s="46"/>
      <c r="K171" s="46"/>
      <c r="L171" s="46"/>
      <c r="M171" s="46"/>
      <c r="N171" s="46"/>
      <c r="O171" s="46"/>
    </row>
    <row r="172" ht="15.75" customHeight="1">
      <c r="E172" s="45"/>
      <c r="G172" s="46"/>
      <c r="H172" s="46"/>
      <c r="I172" s="46"/>
      <c r="J172" s="46"/>
      <c r="K172" s="46"/>
      <c r="L172" s="46"/>
      <c r="M172" s="46"/>
      <c r="N172" s="46"/>
      <c r="O172" s="46"/>
    </row>
    <row r="173" ht="15.75" customHeight="1">
      <c r="E173" s="45"/>
      <c r="G173" s="46"/>
      <c r="H173" s="46"/>
      <c r="I173" s="46"/>
      <c r="J173" s="46"/>
      <c r="K173" s="46"/>
      <c r="L173" s="46"/>
      <c r="M173" s="46"/>
      <c r="N173" s="46"/>
      <c r="O173" s="46"/>
    </row>
    <row r="174" ht="15.75" customHeight="1">
      <c r="E174" s="45"/>
      <c r="G174" s="46"/>
      <c r="H174" s="46"/>
      <c r="I174" s="46"/>
      <c r="J174" s="46"/>
      <c r="K174" s="46"/>
      <c r="L174" s="46"/>
      <c r="M174" s="46"/>
      <c r="N174" s="46"/>
      <c r="O174" s="46"/>
    </row>
    <row r="175" ht="15.75" customHeight="1">
      <c r="E175" s="45"/>
      <c r="G175" s="46"/>
      <c r="H175" s="46"/>
      <c r="I175" s="46"/>
      <c r="J175" s="46"/>
      <c r="K175" s="46"/>
      <c r="L175" s="46"/>
      <c r="M175" s="46"/>
      <c r="N175" s="46"/>
      <c r="O175" s="46"/>
    </row>
    <row r="176" ht="15.75" customHeight="1">
      <c r="E176" s="45"/>
      <c r="G176" s="46"/>
      <c r="H176" s="46"/>
      <c r="I176" s="46"/>
      <c r="J176" s="46"/>
      <c r="K176" s="46"/>
      <c r="L176" s="46"/>
      <c r="M176" s="46"/>
      <c r="N176" s="46"/>
      <c r="O176" s="46"/>
    </row>
    <row r="177" ht="15.75" customHeight="1">
      <c r="E177" s="45"/>
      <c r="G177" s="46"/>
      <c r="H177" s="46"/>
      <c r="I177" s="46"/>
      <c r="J177" s="46"/>
      <c r="K177" s="46"/>
      <c r="L177" s="46"/>
      <c r="M177" s="46"/>
      <c r="N177" s="46"/>
      <c r="O177" s="46"/>
    </row>
    <row r="178" ht="15.75" customHeight="1">
      <c r="E178" s="45"/>
      <c r="G178" s="46"/>
      <c r="H178" s="46"/>
      <c r="I178" s="46"/>
      <c r="J178" s="46"/>
      <c r="K178" s="46"/>
      <c r="L178" s="46"/>
      <c r="M178" s="46"/>
      <c r="N178" s="46"/>
      <c r="O178" s="46"/>
    </row>
    <row r="179" ht="15.75" customHeight="1">
      <c r="E179" s="45"/>
      <c r="G179" s="46"/>
      <c r="H179" s="46"/>
      <c r="I179" s="46"/>
      <c r="J179" s="46"/>
      <c r="K179" s="46"/>
      <c r="L179" s="46"/>
      <c r="M179" s="46"/>
      <c r="N179" s="46"/>
      <c r="O179" s="46"/>
    </row>
    <row r="180" ht="15.75" customHeight="1">
      <c r="E180" s="45"/>
      <c r="G180" s="46"/>
      <c r="H180" s="46"/>
      <c r="I180" s="46"/>
      <c r="J180" s="46"/>
      <c r="K180" s="46"/>
      <c r="L180" s="46"/>
      <c r="M180" s="46"/>
      <c r="N180" s="46"/>
      <c r="O180" s="46"/>
    </row>
    <row r="181" ht="15.75" customHeight="1">
      <c r="E181" s="45"/>
      <c r="G181" s="46"/>
      <c r="H181" s="46"/>
      <c r="I181" s="46"/>
      <c r="J181" s="46"/>
      <c r="K181" s="46"/>
      <c r="L181" s="46"/>
      <c r="M181" s="46"/>
      <c r="N181" s="46"/>
      <c r="O181" s="46"/>
    </row>
    <row r="182" ht="15.75" customHeight="1">
      <c r="E182" s="45"/>
      <c r="G182" s="46"/>
      <c r="H182" s="46"/>
      <c r="I182" s="46"/>
      <c r="J182" s="46"/>
      <c r="K182" s="46"/>
      <c r="L182" s="46"/>
      <c r="M182" s="46"/>
      <c r="N182" s="46"/>
      <c r="O182" s="46"/>
    </row>
    <row r="183" ht="15.75" customHeight="1">
      <c r="E183" s="45"/>
      <c r="G183" s="46"/>
      <c r="H183" s="46"/>
      <c r="I183" s="46"/>
      <c r="J183" s="46"/>
      <c r="K183" s="46"/>
      <c r="L183" s="46"/>
      <c r="M183" s="46"/>
      <c r="N183" s="46"/>
      <c r="O183" s="46"/>
    </row>
    <row r="184" ht="15.75" customHeight="1">
      <c r="E184" s="45"/>
      <c r="G184" s="46"/>
      <c r="H184" s="46"/>
      <c r="I184" s="46"/>
      <c r="J184" s="46"/>
      <c r="K184" s="46"/>
      <c r="L184" s="46"/>
      <c r="M184" s="46"/>
      <c r="N184" s="46"/>
      <c r="O184" s="46"/>
    </row>
    <row r="185" ht="15.75" customHeight="1">
      <c r="E185" s="45"/>
      <c r="G185" s="46"/>
      <c r="H185" s="46"/>
      <c r="I185" s="46"/>
      <c r="J185" s="46"/>
      <c r="K185" s="46"/>
      <c r="L185" s="46"/>
      <c r="M185" s="46"/>
      <c r="N185" s="46"/>
      <c r="O185" s="46"/>
    </row>
    <row r="186" ht="15.75" customHeight="1">
      <c r="E186" s="45"/>
      <c r="G186" s="46"/>
      <c r="H186" s="46"/>
      <c r="I186" s="46"/>
      <c r="J186" s="46"/>
      <c r="K186" s="46"/>
      <c r="L186" s="46"/>
      <c r="M186" s="46"/>
      <c r="N186" s="46"/>
      <c r="O186" s="46"/>
    </row>
    <row r="187" ht="15.75" customHeight="1">
      <c r="E187" s="45"/>
      <c r="G187" s="46"/>
      <c r="H187" s="46"/>
      <c r="I187" s="46"/>
      <c r="J187" s="46"/>
      <c r="K187" s="46"/>
      <c r="L187" s="46"/>
      <c r="M187" s="46"/>
      <c r="N187" s="46"/>
      <c r="O187" s="46"/>
    </row>
    <row r="188" ht="15.75" customHeight="1">
      <c r="E188" s="45"/>
      <c r="G188" s="46"/>
      <c r="H188" s="46"/>
      <c r="I188" s="46"/>
      <c r="J188" s="46"/>
      <c r="K188" s="46"/>
      <c r="L188" s="46"/>
      <c r="M188" s="46"/>
      <c r="N188" s="46"/>
      <c r="O188" s="46"/>
    </row>
    <row r="189" ht="15.75" customHeight="1">
      <c r="E189" s="45"/>
      <c r="G189" s="46"/>
      <c r="H189" s="46"/>
      <c r="I189" s="46"/>
      <c r="J189" s="46"/>
      <c r="K189" s="46"/>
      <c r="L189" s="46"/>
      <c r="M189" s="46"/>
      <c r="N189" s="46"/>
      <c r="O189" s="46"/>
    </row>
    <row r="190" ht="15.75" customHeight="1">
      <c r="E190" s="45"/>
      <c r="G190" s="46"/>
      <c r="H190" s="46"/>
      <c r="I190" s="46"/>
      <c r="J190" s="46"/>
      <c r="K190" s="46"/>
      <c r="L190" s="46"/>
      <c r="M190" s="46"/>
      <c r="N190" s="46"/>
      <c r="O190" s="46"/>
    </row>
    <row r="191" ht="15.75" customHeight="1">
      <c r="E191" s="45"/>
      <c r="G191" s="46"/>
      <c r="H191" s="46"/>
      <c r="I191" s="46"/>
      <c r="J191" s="46"/>
      <c r="K191" s="46"/>
      <c r="L191" s="46"/>
      <c r="M191" s="46"/>
      <c r="N191" s="46"/>
      <c r="O191" s="46"/>
    </row>
    <row r="192" ht="15.75" customHeight="1">
      <c r="E192" s="45"/>
      <c r="G192" s="46"/>
      <c r="H192" s="46"/>
      <c r="I192" s="46"/>
      <c r="J192" s="46"/>
      <c r="K192" s="46"/>
      <c r="L192" s="46"/>
      <c r="M192" s="46"/>
      <c r="N192" s="46"/>
      <c r="O192" s="46"/>
    </row>
    <row r="193" ht="15.75" customHeight="1">
      <c r="E193" s="45"/>
      <c r="G193" s="46"/>
      <c r="H193" s="46"/>
      <c r="I193" s="46"/>
      <c r="J193" s="46"/>
      <c r="K193" s="46"/>
      <c r="L193" s="46"/>
      <c r="M193" s="46"/>
      <c r="N193" s="46"/>
      <c r="O193" s="46"/>
    </row>
    <row r="194" ht="15.75" customHeight="1">
      <c r="E194" s="45"/>
      <c r="G194" s="46"/>
      <c r="H194" s="46"/>
      <c r="I194" s="46"/>
      <c r="J194" s="46"/>
      <c r="K194" s="46"/>
      <c r="L194" s="46"/>
      <c r="M194" s="46"/>
      <c r="N194" s="46"/>
      <c r="O194" s="46"/>
    </row>
    <row r="195" ht="15.75" customHeight="1">
      <c r="E195" s="45"/>
      <c r="G195" s="46"/>
      <c r="H195" s="46"/>
      <c r="I195" s="46"/>
      <c r="J195" s="46"/>
      <c r="K195" s="46"/>
      <c r="L195" s="46"/>
      <c r="M195" s="46"/>
      <c r="N195" s="46"/>
      <c r="O195" s="46"/>
    </row>
    <row r="196" ht="15.75" customHeight="1">
      <c r="E196" s="45"/>
      <c r="G196" s="46"/>
      <c r="H196" s="46"/>
      <c r="I196" s="46"/>
      <c r="J196" s="46"/>
      <c r="K196" s="46"/>
      <c r="L196" s="46"/>
      <c r="M196" s="46"/>
      <c r="N196" s="46"/>
      <c r="O196" s="46"/>
    </row>
    <row r="197" ht="15.75" customHeight="1">
      <c r="E197" s="45"/>
      <c r="G197" s="46"/>
      <c r="H197" s="46"/>
      <c r="I197" s="46"/>
      <c r="J197" s="46"/>
      <c r="K197" s="46"/>
      <c r="L197" s="46"/>
      <c r="M197" s="46"/>
      <c r="N197" s="46"/>
      <c r="O197" s="46"/>
    </row>
    <row r="198" ht="15.75" customHeight="1">
      <c r="E198" s="45"/>
      <c r="G198" s="46"/>
      <c r="H198" s="46"/>
      <c r="I198" s="46"/>
      <c r="J198" s="46"/>
      <c r="K198" s="46"/>
      <c r="L198" s="46"/>
      <c r="M198" s="46"/>
      <c r="N198" s="46"/>
      <c r="O198" s="46"/>
    </row>
    <row r="199" ht="15.75" customHeight="1">
      <c r="E199" s="45"/>
      <c r="G199" s="46"/>
      <c r="H199" s="46"/>
      <c r="I199" s="46"/>
      <c r="J199" s="46"/>
      <c r="K199" s="46"/>
      <c r="L199" s="46"/>
      <c r="M199" s="46"/>
      <c r="N199" s="46"/>
      <c r="O199" s="46"/>
    </row>
    <row r="200" ht="15.75" customHeight="1">
      <c r="E200" s="45"/>
      <c r="G200" s="46"/>
      <c r="H200" s="46"/>
      <c r="I200" s="46"/>
      <c r="J200" s="46"/>
      <c r="K200" s="46"/>
      <c r="L200" s="46"/>
      <c r="M200" s="46"/>
      <c r="N200" s="46"/>
      <c r="O200" s="46"/>
    </row>
    <row r="201" ht="15.75" customHeight="1">
      <c r="E201" s="45"/>
      <c r="G201" s="46"/>
      <c r="H201" s="46"/>
      <c r="I201" s="46"/>
      <c r="J201" s="46"/>
      <c r="K201" s="46"/>
      <c r="L201" s="46"/>
      <c r="M201" s="46"/>
      <c r="N201" s="46"/>
      <c r="O201" s="46"/>
    </row>
    <row r="202" ht="15.75" customHeight="1">
      <c r="E202" s="45"/>
      <c r="G202" s="46"/>
      <c r="H202" s="46"/>
      <c r="I202" s="46"/>
      <c r="J202" s="46"/>
      <c r="K202" s="46"/>
      <c r="L202" s="46"/>
      <c r="M202" s="46"/>
      <c r="N202" s="46"/>
      <c r="O202" s="46"/>
    </row>
    <row r="203" ht="15.75" customHeight="1">
      <c r="E203" s="45"/>
      <c r="G203" s="46"/>
      <c r="H203" s="46"/>
      <c r="I203" s="46"/>
      <c r="J203" s="46"/>
      <c r="K203" s="46"/>
      <c r="L203" s="46"/>
      <c r="M203" s="46"/>
      <c r="N203" s="46"/>
      <c r="O203" s="46"/>
    </row>
    <row r="204" ht="15.75" customHeight="1">
      <c r="E204" s="45"/>
      <c r="G204" s="46"/>
      <c r="H204" s="46"/>
      <c r="I204" s="46"/>
      <c r="J204" s="46"/>
      <c r="K204" s="46"/>
      <c r="L204" s="46"/>
      <c r="M204" s="46"/>
      <c r="N204" s="46"/>
      <c r="O204" s="46"/>
    </row>
    <row r="205" ht="15.75" customHeight="1">
      <c r="E205" s="45"/>
      <c r="G205" s="46"/>
      <c r="H205" s="46"/>
      <c r="I205" s="46"/>
      <c r="J205" s="46"/>
      <c r="K205" s="46"/>
      <c r="L205" s="46"/>
      <c r="M205" s="46"/>
      <c r="N205" s="46"/>
      <c r="O205" s="46"/>
    </row>
    <row r="206" ht="15.75" customHeight="1">
      <c r="E206" s="45"/>
      <c r="G206" s="46"/>
      <c r="H206" s="46"/>
      <c r="I206" s="46"/>
      <c r="J206" s="46"/>
      <c r="K206" s="46"/>
      <c r="L206" s="46"/>
      <c r="M206" s="46"/>
      <c r="N206" s="46"/>
      <c r="O206" s="46"/>
    </row>
    <row r="207" ht="15.75" customHeight="1">
      <c r="E207" s="45"/>
      <c r="G207" s="46"/>
      <c r="H207" s="46"/>
      <c r="I207" s="46"/>
      <c r="J207" s="46"/>
      <c r="K207" s="46"/>
      <c r="L207" s="46"/>
      <c r="M207" s="46"/>
      <c r="N207" s="46"/>
      <c r="O207" s="46"/>
    </row>
    <row r="208" ht="15.75" customHeight="1">
      <c r="E208" s="45"/>
      <c r="G208" s="46"/>
      <c r="H208" s="46"/>
      <c r="I208" s="46"/>
      <c r="J208" s="46"/>
      <c r="K208" s="46"/>
      <c r="L208" s="46"/>
      <c r="M208" s="46"/>
      <c r="N208" s="46"/>
      <c r="O208" s="46"/>
    </row>
    <row r="209" ht="15.75" customHeight="1">
      <c r="E209" s="45"/>
      <c r="G209" s="46"/>
      <c r="H209" s="46"/>
      <c r="I209" s="46"/>
      <c r="J209" s="46"/>
      <c r="K209" s="46"/>
      <c r="L209" s="46"/>
      <c r="M209" s="46"/>
      <c r="N209" s="46"/>
      <c r="O209" s="46"/>
    </row>
    <row r="210" ht="15.75" customHeight="1">
      <c r="E210" s="45"/>
      <c r="G210" s="46"/>
      <c r="H210" s="46"/>
      <c r="I210" s="46"/>
      <c r="J210" s="46"/>
      <c r="K210" s="46"/>
      <c r="L210" s="46"/>
      <c r="M210" s="46"/>
      <c r="N210" s="46"/>
      <c r="O210" s="46"/>
    </row>
    <row r="211" ht="15.75" customHeight="1">
      <c r="E211" s="45"/>
      <c r="G211" s="46"/>
      <c r="H211" s="46"/>
      <c r="I211" s="46"/>
      <c r="J211" s="46"/>
      <c r="K211" s="46"/>
      <c r="L211" s="46"/>
      <c r="M211" s="46"/>
      <c r="N211" s="46"/>
      <c r="O211" s="46"/>
    </row>
    <row r="212" ht="15.75" customHeight="1">
      <c r="E212" s="45"/>
      <c r="G212" s="46"/>
      <c r="H212" s="46"/>
      <c r="I212" s="46"/>
      <c r="J212" s="46"/>
      <c r="K212" s="46"/>
      <c r="L212" s="46"/>
      <c r="M212" s="46"/>
      <c r="N212" s="46"/>
      <c r="O212" s="46"/>
    </row>
    <row r="213" ht="15.75" customHeight="1">
      <c r="E213" s="45"/>
      <c r="G213" s="46"/>
      <c r="H213" s="46"/>
      <c r="I213" s="46"/>
      <c r="J213" s="46"/>
      <c r="K213" s="46"/>
      <c r="L213" s="46"/>
      <c r="M213" s="46"/>
      <c r="N213" s="46"/>
      <c r="O213" s="46"/>
    </row>
    <row r="214" ht="15.75" customHeight="1">
      <c r="E214" s="45"/>
      <c r="G214" s="46"/>
      <c r="H214" s="46"/>
      <c r="I214" s="46"/>
      <c r="J214" s="46"/>
      <c r="K214" s="46"/>
      <c r="L214" s="46"/>
      <c r="M214" s="46"/>
      <c r="N214" s="46"/>
      <c r="O214" s="46"/>
    </row>
    <row r="215" ht="15.75" customHeight="1">
      <c r="E215" s="45"/>
      <c r="G215" s="46"/>
      <c r="H215" s="46"/>
      <c r="I215" s="46"/>
      <c r="J215" s="46"/>
      <c r="K215" s="46"/>
      <c r="L215" s="46"/>
      <c r="M215" s="46"/>
      <c r="N215" s="46"/>
      <c r="O215" s="46"/>
    </row>
    <row r="216" ht="15.75" customHeight="1">
      <c r="E216" s="45"/>
      <c r="G216" s="46"/>
      <c r="H216" s="46"/>
      <c r="I216" s="46"/>
      <c r="J216" s="46"/>
      <c r="K216" s="46"/>
      <c r="L216" s="46"/>
      <c r="M216" s="46"/>
      <c r="N216" s="46"/>
      <c r="O216" s="46"/>
    </row>
    <row r="217" ht="15.75" customHeight="1">
      <c r="E217" s="45"/>
      <c r="G217" s="46"/>
      <c r="H217" s="46"/>
      <c r="I217" s="46"/>
      <c r="J217" s="46"/>
      <c r="K217" s="46"/>
      <c r="L217" s="46"/>
      <c r="M217" s="46"/>
      <c r="N217" s="46"/>
      <c r="O217" s="46"/>
    </row>
    <row r="218" ht="15.75" customHeight="1">
      <c r="E218" s="45"/>
      <c r="G218" s="46"/>
      <c r="H218" s="46"/>
      <c r="I218" s="46"/>
      <c r="J218" s="46"/>
      <c r="K218" s="46"/>
      <c r="L218" s="46"/>
      <c r="M218" s="46"/>
      <c r="N218" s="46"/>
      <c r="O218" s="46"/>
    </row>
    <row r="219" ht="15.75" customHeight="1">
      <c r="E219" s="45"/>
      <c r="G219" s="46"/>
      <c r="H219" s="46"/>
      <c r="I219" s="46"/>
      <c r="J219" s="46"/>
      <c r="K219" s="46"/>
      <c r="L219" s="46"/>
      <c r="M219" s="46"/>
      <c r="N219" s="46"/>
      <c r="O219" s="46"/>
    </row>
    <row r="220" ht="15.75" customHeight="1">
      <c r="E220" s="45"/>
      <c r="G220" s="46"/>
      <c r="H220" s="46"/>
      <c r="I220" s="46"/>
      <c r="J220" s="46"/>
      <c r="K220" s="46"/>
      <c r="L220" s="46"/>
      <c r="M220" s="46"/>
      <c r="N220" s="46"/>
      <c r="O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G4"/>
    <mergeCell ref="H2:K2"/>
    <mergeCell ref="L2:N3"/>
    <mergeCell ref="O2:O4"/>
    <mergeCell ref="H3:I3"/>
    <mergeCell ref="J3:K3"/>
    <mergeCell ref="B1:G1"/>
    <mergeCell ref="A2:A4"/>
    <mergeCell ref="B2:B4"/>
    <mergeCell ref="C2:C4"/>
    <mergeCell ref="D2:D4"/>
    <mergeCell ref="E2:E4"/>
    <mergeCell ref="F2:F4"/>
  </mergeCells>
  <conditionalFormatting sqref="I5:I8 K5:N8">
    <cfRule type="containsText" dxfId="0" priority="1" operator="containsText" text="OK">
      <formula>NOT(ISERROR(SEARCH(("OK"),(I5))))</formula>
    </cfRule>
  </conditionalFormatting>
  <conditionalFormatting sqref="I5:I8 K5:N8">
    <cfRule type="containsText" dxfId="1" priority="2" operator="containsText" text="NA">
      <formula>NOT(ISERROR(SEARCH(("NA"),(I5))))</formula>
    </cfRule>
  </conditionalFormatting>
  <conditionalFormatting sqref="G2:O1000">
    <cfRule type="containsText" dxfId="0" priority="3" operator="containsText" text="High">
      <formula>NOT(ISERROR(SEARCH(("High"),(G2))))</formula>
    </cfRule>
  </conditionalFormatting>
  <conditionalFormatting sqref="G2:O1000">
    <cfRule type="containsText" dxfId="0" priority="4" operator="containsText" text="Medium">
      <formula>NOT(ISERROR(SEARCH(("Medium"),(G2))))</formula>
    </cfRule>
  </conditionalFormatting>
  <conditionalFormatting sqref="G2:O1000">
    <cfRule type="containsText" dxfId="0" priority="5" operator="containsText" text="Low">
      <formula>NOT(ISERROR(SEARCH(("Low"),(G2))))</formula>
    </cfRule>
  </conditionalFormatting>
  <dataValidations>
    <dataValidation type="list" allowBlank="1" sqref="H5:H8 J5:J8">
      <formula1>"x,●"</formula1>
    </dataValidation>
    <dataValidation type="list" allowBlank="1" sqref="I5:I8 K5:N8">
      <formula1>"OK,NG,NA"</formula1>
    </dataValidation>
    <dataValidation type="list" allowBlank="1" showErrorMessage="1" sqref="G5:G8">
      <formula1>"High,Medium,Low"</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13.5"/>
    <col customWidth="1" min="2" max="4" width="33.13"/>
    <col customWidth="1" min="5" max="5" width="40.88"/>
    <col customWidth="1" min="6" max="6" width="38.75"/>
    <col customWidth="1" min="15" max="15" width="13.75"/>
  </cols>
  <sheetData>
    <row r="1" ht="15.75" customHeight="1">
      <c r="A1" s="23" t="s">
        <v>22</v>
      </c>
      <c r="B1" s="24" t="s">
        <v>541</v>
      </c>
      <c r="C1" s="16"/>
      <c r="D1" s="16"/>
      <c r="E1" s="16"/>
      <c r="F1" s="16"/>
      <c r="G1" s="16"/>
      <c r="H1" s="16"/>
      <c r="I1" s="16"/>
      <c r="J1" s="16"/>
      <c r="K1" s="16"/>
      <c r="L1" s="16"/>
      <c r="M1" s="16"/>
      <c r="N1" s="16"/>
      <c r="O1" s="17"/>
    </row>
    <row r="2" ht="15.75" customHeight="1">
      <c r="A2" s="25" t="s">
        <v>24</v>
      </c>
      <c r="B2" s="26" t="s">
        <v>25</v>
      </c>
      <c r="C2" s="26" t="s">
        <v>26</v>
      </c>
      <c r="D2" s="26" t="s">
        <v>27</v>
      </c>
      <c r="E2" s="26" t="s">
        <v>28</v>
      </c>
      <c r="F2" s="26" t="s">
        <v>29</v>
      </c>
      <c r="G2" s="27" t="s">
        <v>30</v>
      </c>
      <c r="H2" s="28" t="s">
        <v>31</v>
      </c>
      <c r="I2" s="5"/>
      <c r="J2" s="5"/>
      <c r="K2" s="6"/>
      <c r="L2" s="29" t="s">
        <v>32</v>
      </c>
      <c r="N2" s="30"/>
      <c r="O2" s="31" t="s">
        <v>33</v>
      </c>
    </row>
    <row r="3" ht="15.75" customHeight="1">
      <c r="A3" s="32"/>
      <c r="B3" s="30"/>
      <c r="C3" s="30"/>
      <c r="D3" s="30"/>
      <c r="E3" s="30"/>
      <c r="F3" s="30"/>
      <c r="G3" s="30"/>
      <c r="H3" s="28" t="s">
        <v>34</v>
      </c>
      <c r="I3" s="5"/>
      <c r="J3" s="33" t="s">
        <v>35</v>
      </c>
      <c r="K3" s="17"/>
      <c r="L3" s="5"/>
      <c r="M3" s="5"/>
      <c r="N3" s="6"/>
      <c r="O3" s="30"/>
    </row>
    <row r="4" ht="15.75" customHeight="1">
      <c r="A4" s="34"/>
      <c r="B4" s="6"/>
      <c r="C4" s="6"/>
      <c r="D4" s="6"/>
      <c r="E4" s="6"/>
      <c r="F4" s="6"/>
      <c r="G4" s="6"/>
      <c r="H4" s="35" t="s">
        <v>36</v>
      </c>
      <c r="I4" s="35" t="s">
        <v>77</v>
      </c>
      <c r="J4" s="35" t="s">
        <v>36</v>
      </c>
      <c r="K4" s="35" t="s">
        <v>77</v>
      </c>
      <c r="L4" s="36" t="s">
        <v>38</v>
      </c>
      <c r="M4" s="37" t="s">
        <v>39</v>
      </c>
      <c r="N4" s="37" t="s">
        <v>40</v>
      </c>
      <c r="O4" s="6"/>
    </row>
    <row r="5" ht="15.75" customHeight="1">
      <c r="A5" s="38" t="str">
        <f>IF(F5&lt;&gt;"",""&amp;TEXT($B$1,"##")&amp;"_"&amp;(ROW()-4)-COUNTBLANK(F$5:F5),"")</f>
        <v>ST_1</v>
      </c>
      <c r="B5" s="39" t="str">
        <f>IFERROR(__xludf.DUMMYFUNCTION("GOOGLETRANSLATE(ST!B5,""vi"",""ja"")"),"ログイン ")</f>
        <v>ログイン </v>
      </c>
      <c r="C5" s="39" t="str">
        <f>IFERROR(__xludf.DUMMYFUNCTION("GOOGLETRANSLATE(ST!C5,""vi"",""ja"")"),"ログインを確認する")</f>
        <v>ログインを確認する</v>
      </c>
      <c r="D5" s="39"/>
      <c r="E5" s="39" t="str">
        <f>IFERROR(__xludf.DUMMYFUNCTION("GOOGLETRANSLATE(ST!E5,""vi"",""ja"")"),"1. ログイン画面に移動します
2. Googleボタンをクリックします 
3. システムに未登録のメールアドレスを選択 ⇒ 表示を確認 
4. Googleボタンをクリックします 
5. システムに登録されているメールアドレスを選択 ⇒ 表示を確認
6. アバターをクリック =&gt; ログアウト ボタンをクリック 
7. Microsoft ボタンをクリックします 
8. システムに未登録のメールアドレスを選択 ⇒ 表示を確認 
9. Googleボタンをクリックします 
10. システムに登録されているメ"&amp;"ールアドレスを選択 ⇒ 表示を確認
")</f>
        <v>1. ログイン画面に移動します
2. Googleボタンをクリックします 
3. システムに未登録のメールアドレスを選択 ⇒ 表示を確認 
4. Googleボタンをクリックします 
5. システムに登録されているメールアドレスを選択 ⇒ 表示を確認
6. アバターをクリック =&gt; ログアウト ボタンをクリック 
7. Microsoft ボタンをクリックします 
8. システムに未登録のメールアドレスを選択 ⇒ 表示を確認 
9. Googleボタンをクリックします 
10. システムに登録されているメールアドレスを選択 ⇒ 表示を確認
</v>
      </c>
      <c r="F5" s="39" t="str">
        <f>IFERROR(__xludf.DUMMYFUNCTION("GOOGLETRANSLATE(ST!F5,""vi"",""ja"")"),"2. 
3. エラー メッセージを表示します。 
ログインに失敗しました。 
もう一度ログインするか学校管理者にお問い合わせください
4. 
5. デジタルツール一覧画面へのログインに成功し、正しいUIデザインが表示されました
6. ログアウトするとログイン画面が表示されます
7.
8. エラー メッセージを表示します。 
ログインに失敗しました。 
もう一度ログインするか学校管理者にお問い合わせください
9. 
10. デジタルツール一覧画面へのログインに成功し、正しいUIデザインが表示されました
")</f>
        <v>2. 
3. エラー メッセージを表示します。 
ログインに失敗しました。 
もう一度ログインするか学校管理者にお問い合わせください
4. 
5. デジタルツール一覧画面へのログインに成功し、正しいUIデザインが表示されました
6. ログアウトするとログイン画面が表示されます
7.
8. エラー メッセージを表示します。 
ログインに失敗しました。 
もう一度ログインするか学校管理者にお問い合わせください
9. 
10. デジタルツール一覧画面へのログインに成功し、正しいUIデザインが表示されました
</v>
      </c>
      <c r="G5" s="40" t="s">
        <v>45</v>
      </c>
      <c r="H5" s="41" t="s">
        <v>46</v>
      </c>
      <c r="I5" s="42"/>
      <c r="J5" s="41" t="s">
        <v>46</v>
      </c>
      <c r="K5" s="42"/>
      <c r="L5" s="42" t="s">
        <v>667</v>
      </c>
      <c r="M5" s="42" t="s">
        <v>667</v>
      </c>
      <c r="N5" s="42" t="s">
        <v>667</v>
      </c>
      <c r="O5" s="43"/>
    </row>
    <row r="6" ht="15.75" customHeight="1">
      <c r="A6" s="38" t="s">
        <v>671</v>
      </c>
      <c r="B6" s="39" t="str">
        <f>IFERROR(__xludf.DUMMYFUNCTION("GOOGLETRANSLATE(ST!B6,""vi"",""ja"")"),"UI")</f>
        <v>UI</v>
      </c>
      <c r="C6" s="39" t="str">
        <f>IFERROR(__xludf.DUMMYFUNCTION("GOOGLETRANSLATE(ST!C6,""vi"",""ja"")"),"応答が変化したときに確認する")</f>
        <v>応答が変化したときに確認する</v>
      </c>
      <c r="D6" s="39"/>
      <c r="E6" s="39" t="str">
        <f>IFERROR(__xludf.DUMMYFUNCTION("GOOGLETRANSLATE(ST!E6,""vi"",""ja"")"),"1.デジタルツール一覧画面へ → 表示確認 
2.ドロップダウン「絵のしゅるい」をクリック→表示を確認 
3. タグレベル 1、2、3、4 をクリックして選択 =&gt; 表示を確認
4.「絵のしゅるい」ドロップダウンを再度クリックします。
5. ドロップダウンの学年・教科書をクリック=&gt; 表示を確認
6. クリックしてタグレベル 1、2、3、4 を選択 =&gt; 表示を確認
7. [学年・教科書] ドロップダウンをもう一度クリックします。
8. ズームデジタルツールを選択→表示確認 
9. クリックしてデジタルツ"&amp;"ールを最小化 -&gt; 表示を確認 
10. クリックしてデジタルツールを選択します 
11. せんたく中のイラストを見るボタンをクリック=&gt; 表示を確認
12.せんたく中のイラスト画面で×をクリック
13. ドロップダウン絵のしゅるいをクリックし、さがすボタンをクリック=&gt; 表示を確認")</f>
        <v>1.デジタルツール一覧画面へ → 表示確認 
2.ドロップダウン「絵のしゅるい」をクリック→表示を確認 
3. タグレベル 1、2、3、4 をクリックして選択 =&gt; 表示を確認
4.「絵のしゅるい」ドロップダウンを再度クリックします。
5. ドロップダウンの学年・教科書をクリック=&gt; 表示を確認
6. クリックしてタグレベル 1、2、3、4 を選択 =&gt; 表示を確認
7. [学年・教科書] ドロップダウンをもう一度クリックします。
8. ズームデジタルツールを選択→表示確認 
9. クリックしてデジタルツールを最小化 -&gt; 表示を確認 
10. クリックしてデジタルツールを選択します 
11. せんたく中のイラストを見るボタンをクリック=&gt; 表示を確認
12.せんたく中のイラスト画面で×をクリック
13. ドロップダウン絵のしゅるいをクリックし、さがすボタンをクリック=&gt; 表示を確認</v>
      </c>
      <c r="F6" s="39" t="str">
        <f>IFERROR(__xludf.DUMMYFUNCTION("GOOGLETRANSLATE(ST!F6,""vi"",""ja"")"),"1. 数量: 6x3 のデジタルツールのリストを表示します。
2. タグリストを旧デザインと同様に4分割で横に表示 
3. 各レベルに対応するタグの完全なリストを表示します 
5. タグリストを旧デザインと同様に4分割で横に表示 
6. 各レベルに対応するタグの完全なリストを表示します。 
8.デジタルツール画像を縦長の長方形で拡大します（横幅が縮むため） 
9. デジタルツールズームを閉じる 
10. 選択したデジタル ツールには背景 #FFCC00 が表示されます
11. 選択したデジタル ツールのリ"&amp;"ストを 4 行で表示します: 1 行あたり 5 項目 
13. 数量: 6x3 のデジタルツールのリストを表示します。")</f>
        <v>1. 数量: 6x3 のデジタルツールのリストを表示します。
2. タグリストを旧デザインと同様に4分割で横に表示 
3. 各レベルに対応するタグの完全なリストを表示します 
5. タグリストを旧デザインと同様に4分割で横に表示 
6. 各レベルに対応するタグの完全なリストを表示します。 
8.デジタルツール画像を縦長の長方形で拡大します（横幅が縮むため） 
9. デジタルツールズームを閉じる 
10. 選択したデジタル ツールには背景 #FFCC00 が表示されます
11. 選択したデジタル ツールのリストを 4 行で表示します: 1 行あたり 5 項目 
13. 数量: 6x3 のデジタルツールのリストを表示します。</v>
      </c>
      <c r="G6" s="40" t="s">
        <v>45</v>
      </c>
      <c r="H6" s="41"/>
      <c r="I6" s="42"/>
      <c r="J6" s="41"/>
      <c r="K6" s="42"/>
      <c r="L6" s="56" t="s">
        <v>667</v>
      </c>
      <c r="M6" s="56" t="s">
        <v>667</v>
      </c>
      <c r="N6" s="56" t="s">
        <v>667</v>
      </c>
      <c r="O6" s="43"/>
    </row>
    <row r="7" ht="15.75" customHeight="1">
      <c r="A7" s="38" t="str">
        <f t="shared" ref="A7:A11" si="1">IF(F7&lt;&gt;"",""&amp;TEXT($B$1,"##")&amp;"_"&amp;(ROW()-4)-COUNTBLANK(F$5:F7),"")</f>
        <v>ST_3</v>
      </c>
      <c r="B7" s="39"/>
      <c r="C7" s="39" t="str">
        <f>IFERROR(__xludf.DUMMYFUNCTION("GOOGLETRANSLATE(ST!C7,""vi"",""ja"")"),"デジタルツールの選択を確認してください ")</f>
        <v>デジタルツールの選択を確認してください </v>
      </c>
      <c r="D7" s="39"/>
      <c r="E7" s="39" t="str">
        <f>IFERROR(__xludf.DUMMYFUNCTION("GOOGLETRANSLATE(ST!E7,""vi"",""ja"")"),"1.デジタルツール一覧画面へ
2.デジタルツール一覧表示を確認する
3. デジタルツールのズームボタンをクリック ⇒ 表示を確認
4. デジタルツールのサムネイルボタンをクリック ⇒ 表示を確認
5. 5つのデジタルツールをクリック =&gt; 表示を確認
6. せんたく中のイラストを見るボタンをクリック=&gt; 表示を確認
7.せんたく中のイラスト画面で×をクリックし、手順5で選択したデジタルツールを再度クリック⇒表示を確認
8. せんたく中のイラストを見るボタンをクリック=&gt; 表示を確認
9.せんたく中のイラス"&amp;"ト画面で×をクリックし、さらに17個のデジタルツールをクリックして選択 =&gt; 表示を確認
10. せんたく中のイラストを見るボタンをクリック=&gt; 表示を確認
11. 位置番号 20 のデジタルツールの削除をクリックします =&gt; 表示を確認します
12. 位置 4 のデジタルツールの削除をクリック =&gt; 表示を確認します
13.せんたく中のイラスト画面で×をクリックし、手順11、12で削除した2つのデジタルツールの表示を確認します
14. クリックして2ページ目に進み、デジタルツールを選択 =&gt; 表示を確認"&amp;"
15. せんたく中のイラストを見るボタンをクリック=&gt; 表示を確認
16.せんたく中のイラスト画面で×をクリックすると1ページ目に戻ります=&gt;前回選択したデジタルツールを確認します
17. 再度クリックして現在選択されているデジタルツールを選択 =&gt; 表示を確認
18. せんたく中のイラストを見るボタンをクリック=&gt; 表示を確認")</f>
        <v>1.デジタルツール一覧画面へ
2.デジタルツール一覧表示を確認する
3. デジタルツールのズームボタンをクリック ⇒ 表示を確認
4. デジタルツールのサムネイルボタンをクリック ⇒ 表示を確認
5. 5つのデジタルツールをクリック =&gt; 表示を確認
6. せんたく中のイラストを見るボタンをクリック=&gt; 表示を確認
7.せんたく中のイラスト画面で×をクリックし、手順5で選択したデジタルツールを再度クリック⇒表示を確認
8. せんたく中のイラストを見るボタンをクリック=&gt; 表示を確認
9.せんたく中のイラスト画面で×をクリックし、さらに17個のデジタルツールをクリックして選択 =&gt; 表示を確認
10. せんたく中のイラストを見るボタンをクリック=&gt; 表示を確認
11. 位置番号 20 のデジタルツールの削除をクリックします =&gt; 表示を確認します
12. 位置 4 のデジタルツールの削除をクリック =&gt; 表示を確認します
13.せんたく中のイラスト画面で×をクリックし、手順11、12で削除した2つのデジタルツールの表示を確認します
14. クリックして2ページ目に進み、デジタルツールを選択 =&gt; 表示を確認
15. せんたく中のイラストを見るボタンをクリック=&gt; 表示を確認
16.せんたく中のイラスト画面で×をクリックすると1ページ目に戻ります=&gt;前回選択したデジタルツールを確認します
17. 再度クリックして現在選択されているデジタルツールを選択 =&gt; 表示を確認
18. せんたく中のイラストを見るボタンをクリック=&gt; 表示を確認</v>
      </c>
      <c r="F7" s="39" t="str">
        <f>IFERROR(__xludf.DUMMYFUNCTION("GOOGLETRANSLATE(ST!F7,""vi"",""ja"")"),"2. デバイスに応じた表示数量:
iPad/Asus/Chromebook : 10x3
3. デジタルツールで画像を拡大する
4. デジタル画像をズームアウトする
5. 選択した 5 枚の写真には背景 #FFCC00 が表示されます
6. モーダルせんたく中のイラストを開き、写真をクリックした順に1～5の5枚の写真を表示します
7. 再選択したデジタル ツールの選択が解除され、#FFCC00 の背景が失われます。
8. モーダルせんたく中のイラストを開き、4 つのデジタル ツール画像のみを 4 つの位置"&amp;" 1、2、3、4 に表示します。
9. 選択した最初の 16 枚の写真には背景 #FFCC00 が表示され、17 枚目の写真は選択できません。
10. せんたく中のイラスト モーダルを開き、20 個のデジタル ツール画像すべてを 20 位置に表示します
11. 位置 20 のデジタルツールが削除されます
12. 位置 4 のデジタルツールが削除され、その後ろのデジタルツールが積み重なっていきます
13. 2 つのデジタル ツールの選択が解除され、背景 #FFCC00 が失われます
14. ページ 2 に切"&amp;"り替えます。選択したデジタル ツールには背景 #FFCC00 が表示されます。
15. 手順 14 で選択したデジタルツールが 19 の位置に表示されます。
16. ページ 1 に戻ります。前に選択した 18 個のデジタル ツールは引き続き正しく表示されます。
17. 再選択したデジタル ツールの選択が解除され、#FFCC00 の背景が失われます。
18. モーダルせんたく中のイラストを開き、デジタルツール画像を18枚表示")</f>
        <v>2. デバイスに応じた表示数量:
iPad/Asus/Chromebook : 10x3
3. デジタルツールで画像を拡大する
4. デジタル画像をズームアウトする
5. 選択した 5 枚の写真には背景 #FFCC00 が表示されます
6. モーダルせんたく中のイラストを開き、写真をクリックした順に1～5の5枚の写真を表示します
7. 再選択したデジタル ツールの選択が解除され、#FFCC00 の背景が失われます。
8. モーダルせんたく中のイラストを開き、4 つのデジタル ツール画像のみを 4 つの位置 1、2、3、4 に表示します。
9. 選択した最初の 16 枚の写真には背景 #FFCC00 が表示され、17 枚目の写真は選択できません。
10. せんたく中のイラスト モーダルを開き、20 個のデジタル ツール画像すべてを 20 位置に表示します
11. 位置 20 のデジタルツールが削除されます
12. 位置 4 のデジタルツールが削除され、その後ろのデジタルツールが積み重なっていきます
13. 2 つのデジタル ツールの選択が解除され、背景 #FFCC00 が失われます
14. ページ 2 に切り替えます。選択したデジタル ツールには背景 #FFCC00 が表示されます。
15. 手順 14 で選択したデジタルツールが 19 の位置に表示されます。
16. ページ 1 に戻ります。前に選択した 18 個のデジタル ツールは引き続き正しく表示されます。
17. 再選択したデジタル ツールの選択が解除され、#FFCC00 の背景が失われます。
18. モーダルせんたく中のイラストを開き、デジタルツール画像を18枚表示</v>
      </c>
      <c r="G7" s="40" t="s">
        <v>45</v>
      </c>
      <c r="H7" s="41" t="s">
        <v>46</v>
      </c>
      <c r="I7" s="42"/>
      <c r="J7" s="41" t="s">
        <v>46</v>
      </c>
      <c r="K7" s="42"/>
      <c r="L7" s="42" t="s">
        <v>667</v>
      </c>
      <c r="M7" s="42" t="s">
        <v>667</v>
      </c>
      <c r="N7" s="42" t="s">
        <v>667</v>
      </c>
      <c r="O7" s="42"/>
    </row>
    <row r="8" ht="15.75" customHeight="1">
      <c r="A8" s="38" t="str">
        <f t="shared" si="1"/>
        <v>ST_4</v>
      </c>
      <c r="B8" s="39"/>
      <c r="C8" s="39" t="str">
        <f>IFERROR(__xludf.DUMMYFUNCTION("GOOGLETRANSLATE(ST!C8,""vi"",""ja"")"),"カテゴリ別タグ選択／テキスト・学年")</f>
        <v>カテゴリ別タグ選択／テキスト・学年</v>
      </c>
      <c r="D8" s="39"/>
      <c r="E8" s="39" t="str">
        <f>IFERROR(__xludf.DUMMYFUNCTION("GOOGLETRANSLATE(ST!E8,""vi"",""ja"")"),"1.デジタルツール一覧画面へ
2.「絵のしゅるい」ドロップダウンをクリックします。
3. タグレベル 1 をクリックして選択 =&gt; 表示を確認
4. タグレベル 2 をクリックして選択 =&gt; 表示を確認
5. タグレベル 3 をクリックして選択 =&gt; 表示を確認
6. クリックしてタグレベル 4 を選択 =&gt; 表示を確認
7. 手順 6 のタグレベル 4 を再度クリック =&gt; 表示を確認します
8. 手順 4 で別のレベル 2 タグをクリック =&gt; 表示を確認します
9. ステップ 3 で再度レベル 1 "&amp;"タグをクリックして選択 =&gt; 表示を確認
10. ドロップダウン「絵のしゅるい」をクリック=&gt; 表示を確認
11. ドロップダウン「絵のしゅるい」を再度クリック=&gt; 表示を確認
12. クリックしてドロップダウンを閉じます 絵のしゅるい-&gt; ドロップダウンをクリック 学年・教科書=&gt; 表示を確認
13. 手順 3、4、5、6、7、8 を繰り返します =&gt; 表示を確認します
14. リストタグ表示エリア外をクリック ⇒ 表示を確認
15. ドロップダウン「学年・教科書」をクリック=&gt; 表示を確認b")</f>
        <v>1.デジタルツール一覧画面へ
2.「絵のしゅるい」ドロップダウンをクリックします。
3. タグレベル 1 をクリックして選択 =&gt; 表示を確認
4. タグレベル 2 をクリックして選択 =&gt; 表示を確認
5. タグレベル 3 をクリックして選択 =&gt; 表示を確認
6. クリックしてタグレベル 4 を選択 =&gt; 表示を確認
7. 手順 6 のタグレベル 4 を再度クリック =&gt; 表示を確認します
8. 手順 4 で別のレベル 2 タグをクリック =&gt; 表示を確認します
9. ステップ 3 で再度レベル 1 タグをクリックして選択 =&gt; 表示を確認
10. ドロップダウン「絵のしゅるい」をクリック=&gt; 表示を確認
11. ドロップダウン「絵のしゅるい」を再度クリック=&gt; 表示を確認
12. クリックしてドロップダウンを閉じます 絵のしゅるい-&gt; ドロップダウンをクリック 学年・教科書=&gt; 表示を確認
13. 手順 3、4、5、6、7、8 を繰り返します =&gt; 表示を確認します
14. リストタグ表示エリア外をクリック ⇒ 表示を確認
15. ドロップダウン「学年・教科書」をクリック=&gt; 表示を確認b</v>
      </c>
      <c r="F8" s="39" t="str">
        <f>IFERROR(__xludf.DUMMYFUNCTION("GOOGLETRANSLATE(ST!F8,""vi"",""ja"")"),"2. カテゴリ別のタグのリストを開きます
3. 選択したタグには背景 #FFCC00 が表示され、選択したレベル 1 タグに属するレベル 2 タグのリストが表示されます。
4. 選択したタグには背景 #FFCC00 が表示され、選択したレベル 2 タグに属するレベル 3 タグのリストが表示されます
5. 選択したタグには背景 #FFCC00 が表示され、選択したレベル 3 タグに属するレベル 4 タグのリストが表示されます。
6. 選択したタグには背景 #FFCC00 が表示され、選択したレベル 3 タグ"&amp;"に属するレベル 4 タグのリストが表示されます。
7. タグ レベル 4 の選択が解除され、白い背景が表示されます。
8. 新しいレベル 2 タグが選択され、新しく選択されたレベル 2 タグに属するレベル 3 タグのリストが表示されます。
9. 新しいレベル 1 タグが選択され、新しく選択されたレベル 1 タグに属するレベル 2 タグのリストが表示されます。
10. カテゴリ別のタグのリストを閉じます
11. カテゴリ別タグのリストを再度開き、レベル 1 タグが選択されていない元の状態に戻します。
12."&amp;" [教科書・学年]でタグリストを開き、カテゴリタグリストを閉じる
13. アウトアウトは[教科書・学年]のタグリストのケース3,4,5,6,7,8と同様です。
14. [教科書・学年]のタグ一覧を閉じる
15. [教科書・学年]に従ってタグリストを再度開き、レベル1タグが選択されていない状態に戻します。")</f>
        <v>2. カテゴリ別のタグのリストを開きます
3. 選択したタグには背景 #FFCC00 が表示され、選択したレベル 1 タグに属するレベル 2 タグのリストが表示されます。
4. 選択したタグには背景 #FFCC00 が表示され、選択したレベル 2 タグに属するレベル 3 タグのリストが表示されます
5. 選択したタグには背景 #FFCC00 が表示され、選択したレベル 3 タグに属するレベル 4 タグのリストが表示されます。
6. 選択したタグには背景 #FFCC00 が表示され、選択したレベル 3 タグに属するレベル 4 タグのリストが表示されます。
7. タグ レベル 4 の選択が解除され、白い背景が表示されます。
8. 新しいレベル 2 タグが選択され、新しく選択されたレベル 2 タグに属するレベル 3 タグのリストが表示されます。
9. 新しいレベル 1 タグが選択され、新しく選択されたレベル 1 タグに属するレベル 2 タグのリストが表示されます。
10. カテゴリ別のタグのリストを閉じます
11. カテゴリ別タグのリストを再度開き、レベル 1 タグが選択されていない元の状態に戻します。
12. [教科書・学年]でタグリストを開き、カテゴリタグリストを閉じる
13. アウトアウトは[教科書・学年]のタグリストのケース3,4,5,6,7,8と同様です。
14. [教科書・学年]のタグ一覧を閉じる
15. [教科書・学年]に従ってタグリストを再度開き、レベル1タグが選択されていない状態に戻します。</v>
      </c>
      <c r="G8" s="40" t="s">
        <v>45</v>
      </c>
      <c r="H8" s="41" t="s">
        <v>46</v>
      </c>
      <c r="I8" s="42"/>
      <c r="J8" s="41" t="s">
        <v>46</v>
      </c>
      <c r="K8" s="42"/>
      <c r="L8" s="56" t="s">
        <v>667</v>
      </c>
      <c r="M8" s="56" t="s">
        <v>667</v>
      </c>
      <c r="N8" s="56" t="s">
        <v>667</v>
      </c>
      <c r="O8" s="43"/>
    </row>
    <row r="9" ht="15.75" customHeight="1">
      <c r="A9" s="38" t="str">
        <f t="shared" si="1"/>
        <v>ST_5</v>
      </c>
      <c r="B9" s="39" t="str">
        <f>IFERROR(__xludf.DUMMYFUNCTION("GOOGLETRANSLATE(ST!B9,""vi"",""ja"")"),"検索")</f>
        <v>検索</v>
      </c>
      <c r="C9" s="39" t="str">
        <f>IFERROR(__xludf.DUMMYFUNCTION("GOOGLETRANSLATE(ST!C9,""vi"",""ja"")"),"キーワード検索を確認する ")</f>
        <v>キーワード検索を確認する </v>
      </c>
      <c r="D9" s="39" t="str">
        <f>IFERROR(__xludf.DUMMYFUNCTION("GOOGLETRANSLATE(ST!D9,""vi"",""ja"")"),"1.「ゆきだま」というカテゴリーのデジタルツールを作成します。
2. ごむだまという[教科書・学年]のデジタルツールを作成します
3. カテゴリのデジタルツールのキーワードを雪玉として登録します
4. [教科書・学年]のデジタルツールのキーワードを「ゴム玉」に登録します        ")</f>
        <v>1.「ゆきだま」というカテゴリーのデジタルツールを作成します。
2. ごむだまという[教科書・学年]のデジタルツールを作成します
3. カテゴリのデジタルツールのキーワードを雪玉として登録します
4. [教科書・学年]のデジタルツールのキーワードを「ゴム玉」に登録します        </v>
      </c>
      <c r="E9" s="39" t="str">
        <f>IFERROR(__xludf.DUMMYFUNCTION("GOOGLETRANSLATE(ST!E9,""vi"",""ja"")"),"1.デジタルツール一覧画面へ
2. キーワード「だま」を入力し、「さがす」ボタンをクリック =&gt; 検索結果を確認する
3. 手順2のキーワードの前に「き」という文字を入力し、「さがす」ボタンをクリック =&gt; 検索結果を確認する
4. テキスト「き」を「む」に置き換え、「さがす」ボタンをクリック =&gt; 検索結果を確認する
5. 手順4のキーワードの前にテキスト「ご」を追加し、「さがす」ボタンをクリック =&gt; 検索結果を確認
6. 手順5で検索したキーワードを削除し、さがすボタンをクリック ⇒ 検索結果を確認"&amp;"
7. キーワード「玉」を入力し、「さがす」ボタンをクリック=&gt; 検索結果を確認
8. 手順 7 のキーワードの前にテキスト「雪」を入力し、キーボードの Enter キーを押します =&gt; アクションを確認します
9.「さがす」ボタンをクリック=&gt;検索結果を確認
10. emile アイコンをクリック =&gt; 検索結果を確認")</f>
        <v>1.デジタルツール一覧画面へ
2. キーワード「だま」を入力し、「さがす」ボタンをクリック =&gt; 検索結果を確認する
3. 手順2のキーワードの前に「き」という文字を入力し、「さがす」ボタンをクリック =&gt; 検索結果を確認する
4. テキスト「き」を「む」に置き換え、「さがす」ボタンをクリック =&gt; 検索結果を確認する
5. 手順4のキーワードの前にテキスト「ご」を追加し、「さがす」ボタンをクリック =&gt; 検索結果を確認
6. 手順5で検索したキーワードを削除し、さがすボタンをクリック ⇒ 検索結果を確認
7. キーワード「玉」を入力し、「さがす」ボタンをクリック=&gt; 検索結果を確認
8. 手順 7 のキーワードの前にテキスト「雪」を入力し、キーボードの Enter キーを押します =&gt; アクションを確認します
9.「さがす」ボタンをクリック=&gt;検索結果を確認
10. emile アイコンをクリック =&gt; 検索結果を確認</v>
      </c>
      <c r="F9" s="39" t="str">
        <f>IFERROR(__xludf.DUMMYFUNCTION("GOOGLETRANSLATE(ST!F9,""vi"",""ja"")"),"2. カテゴリと[教科書・学年]の両方のデジタルツールを表示 
3. カテゴリデジタルツールのみを表示 
4. [教科書・学年]のデジタルツールのみを表示する 
5. [教科書・学年]のデジタルツールのみを表示する 
6. すべてのデジタルツールを元の状態で表示します 
7. カテゴリと[教科書・学年]の両方のデジタルツールを表示します 
8. アクションがありません。Enter キーを押しても検索できません
9. カテゴリデジタルツールのみを表示
10. デジタルツール一覧画面と空のテキストボックスを表"&amp;"示します")</f>
        <v>2. カテゴリと[教科書・学年]の両方のデジタルツールを表示 
3. カテゴリデジタルツールのみを表示 
4. [教科書・学年]のデジタルツールのみを表示する 
5. [教科書・学年]のデジタルツールのみを表示する 
6. すべてのデジタルツールを元の状態で表示します 
7. カテゴリと[教科書・学年]の両方のデジタルツールを表示します 
8. アクションがありません。Enter キーを押しても検索できません
9. カテゴリデジタルツールのみを表示
10. デジタルツール一覧画面と空のテキストボックスを表示します</v>
      </c>
      <c r="G9" s="40" t="s">
        <v>45</v>
      </c>
      <c r="H9" s="41" t="s">
        <v>46</v>
      </c>
      <c r="I9" s="42"/>
      <c r="J9" s="41" t="s">
        <v>46</v>
      </c>
      <c r="K9" s="42"/>
      <c r="L9" s="42" t="s">
        <v>667</v>
      </c>
      <c r="M9" s="42" t="s">
        <v>667</v>
      </c>
      <c r="N9" s="42" t="s">
        <v>667</v>
      </c>
      <c r="O9" s="43"/>
    </row>
    <row r="10" ht="15.75" customHeight="1">
      <c r="A10" s="38" t="str">
        <f t="shared" si="1"/>
        <v>ST_6</v>
      </c>
      <c r="B10" s="39"/>
      <c r="C10" s="39" t="str">
        <f>IFERROR(__xludf.DUMMYFUNCTION("GOOGLETRANSLATE(ST!C10,""vi"",""ja"")"),"カテゴリーから探す/[教科書・学年]")</f>
        <v>カテゴリーから探す/[教科書・学年]</v>
      </c>
      <c r="D10" s="39"/>
      <c r="E10" s="39" t="str">
        <f>IFERROR(__xludf.DUMMYFUNCTION("GOOGLETRANSLATE(ST!E10,""vi"",""ja"")"),"1.デジタルツール一覧画面へ
2.「絵のしゅるい」ドロップダウンをクリックします。
3. ボタンをクリック⇒表示を確認
4. emileアイコンをクリック、ドロップダウン絵のしゅるいをクリック→タグレベル1を選択=&gt;ボタンがすをクリック、表示を確認
5. emileアイコンをクリックし、ドロップダウン「絵のしゅるい」をクリックします。
6. タグレベル1、2を選択 =&gt; ボタンをクリック =&gt; 表示を確認
7. ブレッドクラムのレベル 1 タグ名をクリック =&gt; 表示を確認します
8. emile アイコ"&amp;"ンをクリックし、ドロップダウン「絵のしゅるい」をクリックします。
9. タグレベル1,2,3を選択 =&gt; ボタンをクリック さがす =&gt; 表示を確認
10. ブレッドクラム内のレベル 2 タグ名をクリックします。
11. emileアイコンをクリックし、ドロップダウン「絵のしゅるい」をクリックします。
12. タグレベル1,2,3を選択 =&gt; ボタンをクリック さがす =&gt; 表示を確認
13. ブレッドクラムのレベル 1 タグ名をクリックします。
14. emile アイコンをクリックし、ドロップダウン「"&amp;"絵のしゅるい」をクリックします。
15. タグレベル1,2,3,4を選択 =&gt; ボタンをクリック さがす =&gt; 表示を確認
16. ブレッドクラムのレベル 3 タグ名をクリック =&gt; 表示を確認
17. ズームインボタンをクリックし、デジタルツールをクリックしてズームアウト =&gt; 表示を確認します
18. 4つのデジタルツールをクリック =&gt; 表示を確認
19. 手順18で選択したデジタルツールを再度クリックして選択 =&gt; 表示を確認
20. せんたく中のイラストを見るボタンをクリック=&gt; 表示を確認
2"&amp;"1. 位置 1 のデジタルツールをクリックして削除 =&gt; 表示を確認します
22.せんたく中のイラスト画面で×をクリック
23. [emile] ボタンをクリックし、ドロップダウンの [学年・教科書] をクリックします。
24. 学年・教科書でも手順3～手順22と同様に行います。")</f>
        <v>1.デジタルツール一覧画面へ
2.「絵のしゅるい」ドロップダウンをクリックします。
3. ボタンをクリック⇒表示を確認
4. emileアイコンをクリック、ドロップダウン絵のしゅるいをクリック→タグレベル1を選択=&gt;ボタンがすをクリック、表示を確認
5. emileアイコンをクリックし、ドロップダウン「絵のしゅるい」をクリックします。
6. タグレベル1、2を選択 =&gt; ボタンをクリック =&gt; 表示を確認
7. ブレッドクラムのレベル 1 タグ名をクリック =&gt; 表示を確認します
8. emile アイコンをクリックし、ドロップダウン「絵のしゅるい」をクリックします。
9. タグレベル1,2,3を選択 =&gt; ボタンをクリック さがす =&gt; 表示を確認
10. ブレッドクラム内のレベル 2 タグ名をクリックします。
11. emileアイコンをクリックし、ドロップダウン「絵のしゅるい」をクリックします。
12. タグレベル1,2,3を選択 =&gt; ボタンをクリック さがす =&gt; 表示を確認
13. ブレッドクラムのレベル 1 タグ名をクリックします。
14. emile アイコンをクリックし、ドロップダウン「絵のしゅるい」をクリックします。
15. タグレベル1,2,3,4を選択 =&gt; ボタンをクリック さがす =&gt; 表示を確認
16. ブレッドクラムのレベル 3 タグ名をクリック =&gt; 表示を確認
17. ズームインボタンをクリックし、デジタルツールをクリックしてズームアウト =&gt; 表示を確認します
18. 4つのデジタルツールをクリック =&gt; 表示を確認
19. 手順18で選択したデジタルツールを再度クリックして選択 =&gt; 表示を確認
20. せんたく中のイラストを見るボタンをクリック=&gt; 表示を確認
21. 位置 1 のデジタルツールをクリックして削除 =&gt; 表示を確認します
22.せんたく中のイラスト画面で×をクリック
23. [emile] ボタンをクリックし、ドロップダウンの [学年・教科書] をクリックします。
24. 学年・教科書でも手順3～手順22と同様に行います。</v>
      </c>
      <c r="F10" s="39" t="str">
        <f>IFERROR(__xludf.DUMMYFUNCTION("GOOGLETRANSLATE(ST!F10,""vi"",""ja"")"),"3. 検索結果画面を開くと、カテゴリ内のすべてのデジタルツールのデータが一覧表示されます
4. タグレベル1に属するデジタルツールのデータ一覧の検索結果画面を開く
6. タグレベル2に属するデジタルツールのデータ一覧の検索結果画面を開く
7. 出力はステップ 1 と同じです
9. タグレベル3に属するデジタルツールのデータ一覧の検索結果画面を開く
10. 出力はステップ 6 と同じです
12. 出力はステップ 9 と同じです
13. 出力はステップ 4 と同じです
15. タグレベル4に属するデジタルツー"&amp;"ルのデータ一覧の検索結果画面を開く
16. 出力はステップ 9 と同じです
17. デジタル ツールの画像を拡大 =&gt; 画像を縮小して元のサイズに戻します
18. 4 つのデジタル ツールが選択され、背景 #FFCC00 が表示されます
19. 選択したデジタル ツールの背景 #FFCC00 が失われています
20. モーダルせんたく中のイラストを開き、3つのデジタルツールを3つの位置1、2、3に表示します
21. 位置 1 のデジタルツールが削除され、次の 2 つのデジタルツールが位置 1 と 2 に移"&amp;"動されます。
22. モーダルを閉じるせんたく中のイラスト
23. 学年・教科書に属する全デジタルツールの一覧データの検索結果画面を開く
24. すべてのケースに合格する")</f>
        <v>3. 検索結果画面を開くと、カテゴリ内のすべてのデジタルツールのデータが一覧表示されます
4. タグレベル1に属するデジタルツールのデータ一覧の検索結果画面を開く
6. タグレベル2に属するデジタルツールのデータ一覧の検索結果画面を開く
7. 出力はステップ 1 と同じです
9. タグレベル3に属するデジタルツールのデータ一覧の検索結果画面を開く
10. 出力はステップ 6 と同じです
12. 出力はステップ 9 と同じです
13. 出力はステップ 4 と同じです
15. タグレベル4に属するデジタルツールのデータ一覧の検索結果画面を開く
16. 出力はステップ 9 と同じです
17. デジタル ツールの画像を拡大 =&gt; 画像を縮小して元のサイズに戻します
18. 4 つのデジタル ツールが選択され、背景 #FFCC00 が表示されます
19. 選択したデジタル ツールの背景 #FFCC00 が失われています
20. モーダルせんたく中のイラストを開き、3つのデジタルツールを3つの位置1、2、3に表示します
21. 位置 1 のデジタルツールが削除され、次の 2 つのデジタルツールが位置 1 と 2 に移動されます。
22. モーダルを閉じるせんたく中のイラスト
23. 学年・教科書に属する全デジタルツールの一覧データの検索結果画面を開く
24. すべてのケースに合格する</v>
      </c>
      <c r="G10" s="40" t="s">
        <v>45</v>
      </c>
      <c r="H10" s="41" t="s">
        <v>46</v>
      </c>
      <c r="I10" s="42"/>
      <c r="J10" s="41" t="s">
        <v>46</v>
      </c>
      <c r="K10" s="42"/>
      <c r="L10" s="56" t="s">
        <v>667</v>
      </c>
      <c r="M10" s="56" t="s">
        <v>667</v>
      </c>
      <c r="N10" s="56" t="s">
        <v>667</v>
      </c>
      <c r="O10" s="43"/>
    </row>
    <row r="11" ht="15.75" customHeight="1">
      <c r="A11" s="38" t="str">
        <f t="shared" si="1"/>
        <v>ST_7</v>
      </c>
      <c r="B11" s="39" t="str">
        <f>IFERROR(__xludf.DUMMYFUNCTION("GOOGLETRANSLATE(ST!B11,""vi"",""ja"")"),"ダウンロード")</f>
        <v>ダウンロード</v>
      </c>
      <c r="C11" s="71" t="str">
        <f>IFERROR(__xludf.DUMMYFUNCTION("GOOGLETRANSLATE(ST!C11,""vi"",""ja"")"),"ダウンロードを確認する")</f>
        <v>ダウンロードを確認する</v>
      </c>
      <c r="D11" s="71"/>
      <c r="E11" s="71" t="str">
        <f>IFERROR(__xludf.DUMMYFUNCTION("GOOGLETRANSLATE(ST!E11,""vi"",""ja"")"),"1.デジタルツール一覧画面へ
2. デジタルツールがまだ選択されていません =&gt; チェックを入れるとダウンロードボタンが表示されます
3. デジタルツールをクリックして選択 =&gt; ダウンロードボタンの表示を確認
4. 選択したデジタル ツールのダウンロード ボタンをクリックします =&gt; ダウンロードが成功した後、デジタル ツールの表示を確認します
5. フォルダーを開き、ファイル名とファイル形式を確認します
6. システムを再度開き、ページ 1 の 10 個のデジタル ツール画像とページ 2 の 10 個"&amp;"のデジタル ツール画像をクリックし、ダウンロード ボタンをクリックします。
7.ダウンロードが成功したら、選択したデジタルツールを確認します
8. フォルダーを開き、ダウンロードした画像の数、ファイル名、ファイル形式を確認します。
9. システムを再度開き、デジタルツール一覧画面で 10 個のデジタルツール画像をクリックします
10. ドロップダウン「絵のしゅるい」をクリックし、「さがす」ボタンをクリックします
11. カテゴリからデジタルツール画像を 5 つ選択します
12. ドロップダウンの学年・教科"&amp;"書をクリックし、「さがす」ボタンをクリックします
13. カテゴリからデジタルツール画像を 5 つ選択します
14. ダウンロードボタンをクリック =&gt; ダウンロード成功後、デジタルツールの表示を確認します
15. フォルダーを開き、ファイル名とファイル形式を確認します
16. デジタルツールリストを再度開き、クリックしてデジタルツールを選択します 
17. ダウンロードボタンを素早く連続してクリックします =&gt; フォルダーを開き、ファイル名とファイル形式を確認します")</f>
        <v>1.デジタルツール一覧画面へ
2. デジタルツールがまだ選択されていません =&gt; チェックを入れるとダウンロードボタンが表示されます
3. デジタルツールをクリックして選択 =&gt; ダウンロードボタンの表示を確認
4. 選択したデジタル ツールのダウンロード ボタンをクリックします =&gt; ダウンロードが成功した後、デジタル ツールの表示を確認します
5. フォルダーを開き、ファイル名とファイル形式を確認します
6. システムを再度開き、ページ 1 の 10 個のデジタル ツール画像とページ 2 の 10 個のデジタル ツール画像をクリックし、ダウンロード ボタンをクリックします。
7.ダウンロードが成功したら、選択したデジタルツールを確認します
8. フォルダーを開き、ダウンロードした画像の数、ファイル名、ファイル形式を確認します。
9. システムを再度開き、デジタルツール一覧画面で 10 個のデジタルツール画像をクリックします
10. ドロップダウン「絵のしゅるい」をクリックし、「さがす」ボタンをクリックします
11. カテゴリからデジタルツール画像を 5 つ選択します
12. ドロップダウンの学年・教科書をクリックし、「さがす」ボタンをクリックします
13. カテゴリからデジタルツール画像を 5 つ選択します
14. ダウンロードボタンをクリック =&gt; ダウンロード成功後、デジタルツールの表示を確認します
15. フォルダーを開き、ファイル名とファイル形式を確認します
16. デジタルツールリストを再度開き、クリックしてデジタルツールを選択します 
17. ダウンロードボタンを素早く連続してクリックします =&gt; フォルダーを開き、ファイル名とファイル形式を確認します</v>
      </c>
      <c r="F11" s="71" t="str">
        <f>IFERROR(__xludf.DUMMYFUNCTION("GOOGLETRANSLATE(ST!F11,""vi"",""ja"")"),"2. ダウンロードボタンが無効になっています
3. ダウンロード有効ボタン
4. ダウンロードデジタルが選択されました。ダウンロード後、画面上のデジタル測定ツールの選択を解除します
5. ファイル名は画像名、ファイル形式はアップロード管理側の対応する形式です。
6. 20 個のデジタル ツール イメージをダウンロードする
7. ダウンロード後、ダウンロードしたすべてのデジタルツールの選択を解除します。
8. 管理者側で、20 枚すべての写真、写真に対応する名前、形式をダウンロードします。
14. 20枚の"&amp;"画像のダウンロードに成功したら、デジタルツール一覧、カテゴリのデジタルツール一覧、[教科書・学年]のデジタルツール一覧を開き、ダウンロードしたデジタルツールのチェックがすべて外れていることを確認します。
15. 管理者側の画像に対応する 20 個の画像、名前、形式をすべてダウンロードします。
17. デジタル画像のダウンロードは一度だけ行う")</f>
        <v>2. ダウンロードボタンが無効になっています
3. ダウンロード有効ボタン
4. ダウンロードデジタルが選択されました。ダウンロード後、画面上のデジタル測定ツールの選択を解除します
5. ファイル名は画像名、ファイル形式はアップロード管理側の対応する形式です。
6. 20 個のデジタル ツール イメージをダウンロードする
7. ダウンロード後、ダウンロードしたすべてのデジタルツールの選択を解除します。
8. 管理者側で、20 枚すべての写真、写真に対応する名前、形式をダウンロードします。
14. 20枚の画像のダウンロードに成功したら、デジタルツール一覧、カテゴリのデジタルツール一覧、[教科書・学年]のデジタルツール一覧を開き、ダウンロードしたデジタルツールのチェックがすべて外れていることを確認します。
15. 管理者側の画像に対応する 20 個の画像、名前、形式をすべてダウンロードします。
17. デジタル画像のダウンロードは一度だけ行う</v>
      </c>
      <c r="G11" s="40" t="s">
        <v>45</v>
      </c>
      <c r="H11" s="41"/>
      <c r="I11" s="42"/>
      <c r="J11" s="86"/>
      <c r="K11" s="86"/>
      <c r="L11" s="56" t="s">
        <v>667</v>
      </c>
      <c r="M11" s="42" t="s">
        <v>667</v>
      </c>
      <c r="N11" s="87" t="s">
        <v>667</v>
      </c>
      <c r="O11" s="86"/>
    </row>
    <row r="12" ht="15.75" customHeight="1">
      <c r="E12" s="45"/>
      <c r="G12" s="46"/>
      <c r="H12" s="46"/>
      <c r="I12" s="46"/>
      <c r="J12" s="46"/>
      <c r="K12" s="46"/>
      <c r="L12" s="46"/>
      <c r="M12" s="46"/>
      <c r="N12" s="46"/>
      <c r="O12" s="46"/>
    </row>
    <row r="13" ht="15.75" customHeight="1">
      <c r="E13" s="45"/>
      <c r="G13" s="46"/>
      <c r="H13" s="46"/>
      <c r="I13" s="46"/>
      <c r="J13" s="46"/>
      <c r="K13" s="46"/>
      <c r="L13" s="46"/>
      <c r="M13" s="46"/>
      <c r="N13" s="46"/>
      <c r="O13" s="46"/>
    </row>
    <row r="14" ht="15.75" customHeight="1">
      <c r="E14" s="45"/>
      <c r="G14" s="46"/>
      <c r="H14" s="46"/>
      <c r="I14" s="46"/>
      <c r="J14" s="46"/>
      <c r="K14" s="46"/>
      <c r="L14" s="46"/>
      <c r="M14" s="46"/>
      <c r="N14" s="46"/>
      <c r="O14" s="46"/>
    </row>
    <row r="15" ht="15.75" customHeight="1">
      <c r="E15" s="45"/>
      <c r="G15" s="46"/>
      <c r="H15" s="46"/>
      <c r="I15" s="46"/>
      <c r="J15" s="46"/>
      <c r="K15" s="46"/>
      <c r="L15" s="46"/>
      <c r="M15" s="46"/>
      <c r="N15" s="46"/>
      <c r="O15" s="46"/>
    </row>
    <row r="16" ht="15.75" customHeight="1">
      <c r="E16" s="45"/>
      <c r="G16" s="46"/>
      <c r="H16" s="46"/>
      <c r="I16" s="46"/>
      <c r="J16" s="46"/>
      <c r="K16" s="46"/>
      <c r="L16" s="46"/>
      <c r="M16" s="46"/>
      <c r="N16" s="46"/>
      <c r="O16" s="46"/>
    </row>
    <row r="17" ht="15.75" customHeight="1">
      <c r="E17" s="45"/>
      <c r="G17" s="46"/>
      <c r="H17" s="46"/>
      <c r="I17" s="46"/>
      <c r="J17" s="46"/>
      <c r="K17" s="46"/>
      <c r="L17" s="46"/>
      <c r="M17" s="46"/>
      <c r="N17" s="46"/>
      <c r="O17" s="46"/>
    </row>
    <row r="18" ht="15.75" customHeight="1">
      <c r="E18" s="45"/>
      <c r="G18" s="46"/>
      <c r="H18" s="46"/>
      <c r="I18" s="46"/>
      <c r="J18" s="46"/>
      <c r="K18" s="46"/>
      <c r="L18" s="46"/>
      <c r="M18" s="46"/>
      <c r="N18" s="46"/>
      <c r="O18" s="46"/>
    </row>
    <row r="19" ht="15.75" customHeight="1">
      <c r="E19" s="45"/>
      <c r="G19" s="46"/>
      <c r="H19" s="46"/>
      <c r="I19" s="46"/>
      <c r="J19" s="46"/>
      <c r="K19" s="46"/>
      <c r="L19" s="46"/>
      <c r="M19" s="46"/>
      <c r="N19" s="46"/>
      <c r="O19" s="46"/>
    </row>
    <row r="20" ht="15.75" customHeight="1">
      <c r="E20" s="45"/>
      <c r="G20" s="46"/>
      <c r="H20" s="46"/>
      <c r="I20" s="46"/>
      <c r="J20" s="46"/>
      <c r="K20" s="46"/>
      <c r="L20" s="46"/>
      <c r="M20" s="46"/>
      <c r="N20" s="46"/>
      <c r="O20" s="46"/>
    </row>
    <row r="21" ht="15.75" customHeight="1">
      <c r="E21" s="45"/>
      <c r="G21" s="46"/>
      <c r="H21" s="46"/>
      <c r="I21" s="46"/>
      <c r="J21" s="46"/>
      <c r="K21" s="46"/>
      <c r="L21" s="46"/>
      <c r="M21" s="46"/>
      <c r="N21" s="46"/>
      <c r="O21" s="46"/>
    </row>
    <row r="22" ht="15.75" customHeight="1">
      <c r="E22" s="45"/>
      <c r="G22" s="46"/>
      <c r="H22" s="46"/>
      <c r="I22" s="46"/>
      <c r="J22" s="46"/>
      <c r="K22" s="46"/>
      <c r="L22" s="46"/>
      <c r="M22" s="46"/>
      <c r="N22" s="46"/>
      <c r="O22" s="46"/>
    </row>
    <row r="23" ht="15.75" customHeight="1">
      <c r="E23" s="45"/>
      <c r="G23" s="46"/>
      <c r="H23" s="46"/>
      <c r="I23" s="46"/>
      <c r="J23" s="46"/>
      <c r="K23" s="46"/>
      <c r="L23" s="46"/>
      <c r="M23" s="46"/>
      <c r="N23" s="46"/>
      <c r="O23" s="46"/>
    </row>
    <row r="24" ht="15.75" customHeight="1">
      <c r="E24" s="45"/>
      <c r="G24" s="46"/>
      <c r="H24" s="46"/>
      <c r="I24" s="46"/>
      <c r="J24" s="46"/>
      <c r="K24" s="46"/>
      <c r="L24" s="46"/>
      <c r="M24" s="46"/>
      <c r="N24" s="46"/>
      <c r="O24" s="46"/>
    </row>
    <row r="25" ht="15.75" customHeight="1">
      <c r="E25" s="45"/>
      <c r="G25" s="46"/>
      <c r="H25" s="46"/>
      <c r="I25" s="46"/>
      <c r="J25" s="46"/>
      <c r="K25" s="46"/>
      <c r="L25" s="46"/>
      <c r="M25" s="46"/>
      <c r="N25" s="46"/>
      <c r="O25" s="46"/>
    </row>
    <row r="26" ht="15.75" customHeight="1">
      <c r="E26" s="45"/>
      <c r="G26" s="46"/>
      <c r="H26" s="46"/>
      <c r="I26" s="46"/>
      <c r="J26" s="46"/>
      <c r="K26" s="46"/>
      <c r="L26" s="46"/>
      <c r="M26" s="46"/>
      <c r="N26" s="46"/>
      <c r="O26" s="46"/>
    </row>
    <row r="27" ht="15.75" customHeight="1">
      <c r="E27" s="45"/>
      <c r="G27" s="46"/>
      <c r="H27" s="46"/>
      <c r="I27" s="46"/>
      <c r="J27" s="46"/>
      <c r="K27" s="46"/>
      <c r="L27" s="46"/>
      <c r="M27" s="46"/>
      <c r="N27" s="46"/>
      <c r="O27" s="46"/>
    </row>
    <row r="28" ht="15.75" customHeight="1">
      <c r="E28" s="45"/>
      <c r="G28" s="46"/>
      <c r="H28" s="46"/>
      <c r="I28" s="46"/>
      <c r="J28" s="46"/>
      <c r="K28" s="46"/>
      <c r="L28" s="46"/>
      <c r="M28" s="46"/>
      <c r="N28" s="46"/>
      <c r="O28" s="46"/>
    </row>
    <row r="29" ht="15.75" customHeight="1">
      <c r="E29" s="45"/>
      <c r="G29" s="46"/>
      <c r="H29" s="46"/>
      <c r="I29" s="46"/>
      <c r="J29" s="46"/>
      <c r="K29" s="46"/>
      <c r="L29" s="46"/>
      <c r="M29" s="46"/>
      <c r="N29" s="46"/>
      <c r="O29" s="46"/>
    </row>
    <row r="30" ht="15.75" customHeight="1">
      <c r="E30" s="45"/>
      <c r="G30" s="46"/>
      <c r="H30" s="46"/>
      <c r="I30" s="46"/>
      <c r="J30" s="46"/>
      <c r="K30" s="46"/>
      <c r="L30" s="46"/>
      <c r="M30" s="46"/>
      <c r="N30" s="46"/>
      <c r="O30" s="46"/>
    </row>
    <row r="31" ht="15.75" customHeight="1">
      <c r="E31" s="45"/>
      <c r="G31" s="46"/>
      <c r="H31" s="46"/>
      <c r="I31" s="46"/>
      <c r="J31" s="46"/>
      <c r="K31" s="46"/>
      <c r="L31" s="46"/>
      <c r="M31" s="46"/>
      <c r="N31" s="46"/>
      <c r="O31" s="46"/>
    </row>
    <row r="32" ht="15.75" customHeight="1">
      <c r="E32" s="45"/>
      <c r="G32" s="46"/>
      <c r="H32" s="46"/>
      <c r="I32" s="46"/>
      <c r="J32" s="46"/>
      <c r="K32" s="46"/>
      <c r="L32" s="46"/>
      <c r="M32" s="46"/>
      <c r="N32" s="46"/>
      <c r="O32" s="46"/>
    </row>
    <row r="33" ht="15.75" customHeight="1">
      <c r="E33" s="45"/>
      <c r="G33" s="46"/>
      <c r="H33" s="46"/>
      <c r="I33" s="46"/>
      <c r="J33" s="46"/>
      <c r="K33" s="46"/>
      <c r="L33" s="46"/>
      <c r="M33" s="46"/>
      <c r="N33" s="46"/>
      <c r="O33" s="46"/>
    </row>
    <row r="34" ht="15.75" customHeight="1">
      <c r="E34" s="45"/>
      <c r="G34" s="46"/>
      <c r="H34" s="46"/>
      <c r="I34" s="46"/>
      <c r="J34" s="46"/>
      <c r="K34" s="46"/>
      <c r="L34" s="46"/>
      <c r="M34" s="46"/>
      <c r="N34" s="46"/>
      <c r="O34" s="46"/>
    </row>
    <row r="35" ht="15.75" customHeight="1">
      <c r="E35" s="45"/>
      <c r="G35" s="46"/>
      <c r="H35" s="46"/>
      <c r="I35" s="46"/>
      <c r="J35" s="46"/>
      <c r="K35" s="46"/>
      <c r="L35" s="46"/>
      <c r="M35" s="46"/>
      <c r="N35" s="46"/>
      <c r="O35" s="46"/>
    </row>
    <row r="36" ht="15.75" customHeight="1">
      <c r="E36" s="45"/>
      <c r="G36" s="46"/>
      <c r="H36" s="46"/>
      <c r="I36" s="46"/>
      <c r="J36" s="46"/>
      <c r="K36" s="46"/>
      <c r="L36" s="46"/>
      <c r="M36" s="46"/>
      <c r="N36" s="46"/>
      <c r="O36" s="46"/>
    </row>
    <row r="37" ht="15.75" customHeight="1">
      <c r="E37" s="45"/>
      <c r="G37" s="46"/>
      <c r="H37" s="46"/>
      <c r="I37" s="46"/>
      <c r="J37" s="46"/>
      <c r="K37" s="46"/>
      <c r="L37" s="46"/>
      <c r="M37" s="46"/>
      <c r="N37" s="46"/>
      <c r="O37" s="46"/>
    </row>
    <row r="38" ht="15.75" customHeight="1">
      <c r="E38" s="45"/>
      <c r="G38" s="46"/>
      <c r="H38" s="46"/>
      <c r="I38" s="46"/>
      <c r="J38" s="46"/>
      <c r="K38" s="46"/>
      <c r="L38" s="46"/>
      <c r="M38" s="46"/>
      <c r="N38" s="46"/>
      <c r="O38" s="46"/>
    </row>
    <row r="39" ht="15.75" customHeight="1">
      <c r="E39" s="45"/>
      <c r="G39" s="46"/>
      <c r="H39" s="46"/>
      <c r="I39" s="46"/>
      <c r="J39" s="46"/>
      <c r="K39" s="46"/>
      <c r="L39" s="46"/>
      <c r="M39" s="46"/>
      <c r="N39" s="46"/>
      <c r="O39" s="46"/>
    </row>
    <row r="40" ht="15.75" customHeight="1">
      <c r="E40" s="45"/>
      <c r="G40" s="46"/>
      <c r="H40" s="46"/>
      <c r="I40" s="46"/>
      <c r="J40" s="46"/>
      <c r="K40" s="46"/>
      <c r="L40" s="46"/>
      <c r="M40" s="46"/>
      <c r="N40" s="46"/>
      <c r="O40" s="46"/>
    </row>
    <row r="41" ht="15.75" customHeight="1">
      <c r="E41" s="45"/>
      <c r="G41" s="46"/>
      <c r="H41" s="46"/>
      <c r="I41" s="46"/>
      <c r="J41" s="46"/>
      <c r="K41" s="46"/>
      <c r="L41" s="46"/>
      <c r="M41" s="46"/>
      <c r="N41" s="46"/>
      <c r="O41" s="46"/>
    </row>
    <row r="42" ht="15.75" customHeight="1">
      <c r="E42" s="45"/>
      <c r="G42" s="46"/>
      <c r="H42" s="46"/>
      <c r="I42" s="46"/>
      <c r="J42" s="46"/>
      <c r="K42" s="46"/>
      <c r="L42" s="46"/>
      <c r="M42" s="46"/>
      <c r="N42" s="46"/>
      <c r="O42" s="46"/>
    </row>
    <row r="43" ht="15.75" customHeight="1">
      <c r="E43" s="45"/>
      <c r="G43" s="46"/>
      <c r="H43" s="46"/>
      <c r="I43" s="46"/>
      <c r="J43" s="46"/>
      <c r="K43" s="46"/>
      <c r="L43" s="46"/>
      <c r="M43" s="46"/>
      <c r="N43" s="46"/>
      <c r="O43" s="46"/>
    </row>
    <row r="44" ht="15.75" customHeight="1">
      <c r="E44" s="45"/>
      <c r="G44" s="46"/>
      <c r="H44" s="46"/>
      <c r="I44" s="46"/>
      <c r="J44" s="46"/>
      <c r="K44" s="46"/>
      <c r="L44" s="46"/>
      <c r="M44" s="46"/>
      <c r="N44" s="46"/>
      <c r="O44" s="46"/>
    </row>
    <row r="45" ht="15.75" customHeight="1">
      <c r="E45" s="45"/>
      <c r="G45" s="46"/>
      <c r="H45" s="46"/>
      <c r="I45" s="46"/>
      <c r="J45" s="46"/>
      <c r="K45" s="46"/>
      <c r="L45" s="46"/>
      <c r="M45" s="46"/>
      <c r="N45" s="46"/>
      <c r="O45" s="46"/>
    </row>
    <row r="46" ht="15.75" customHeight="1">
      <c r="E46" s="45"/>
      <c r="G46" s="46"/>
      <c r="H46" s="46"/>
      <c r="I46" s="46"/>
      <c r="J46" s="46"/>
      <c r="K46" s="46"/>
      <c r="L46" s="46"/>
      <c r="M46" s="46"/>
      <c r="N46" s="46"/>
      <c r="O46" s="46"/>
    </row>
    <row r="47" ht="15.75" customHeight="1">
      <c r="E47" s="45"/>
      <c r="G47" s="46"/>
      <c r="H47" s="46"/>
      <c r="I47" s="46"/>
      <c r="J47" s="46"/>
      <c r="K47" s="46"/>
      <c r="L47" s="46"/>
      <c r="M47" s="46"/>
      <c r="N47" s="46"/>
      <c r="O47" s="46"/>
    </row>
    <row r="48" ht="15.75" customHeight="1">
      <c r="E48" s="45"/>
      <c r="G48" s="46"/>
      <c r="H48" s="46"/>
      <c r="I48" s="46"/>
      <c r="J48" s="46"/>
      <c r="K48" s="46"/>
      <c r="L48" s="46"/>
      <c r="M48" s="46"/>
      <c r="N48" s="46"/>
      <c r="O48" s="46"/>
    </row>
    <row r="49" ht="15.75" customHeight="1">
      <c r="E49" s="45"/>
      <c r="G49" s="46"/>
      <c r="H49" s="46"/>
      <c r="I49" s="46"/>
      <c r="J49" s="46"/>
      <c r="K49" s="46"/>
      <c r="L49" s="46"/>
      <c r="M49" s="46"/>
      <c r="N49" s="46"/>
      <c r="O49" s="46"/>
    </row>
    <row r="50" ht="15.75" customHeight="1">
      <c r="E50" s="45"/>
      <c r="G50" s="46"/>
      <c r="H50" s="46"/>
      <c r="I50" s="46"/>
      <c r="J50" s="46"/>
      <c r="K50" s="46"/>
      <c r="L50" s="46"/>
      <c r="M50" s="46"/>
      <c r="N50" s="46"/>
      <c r="O50" s="46"/>
    </row>
    <row r="51" ht="15.75" customHeight="1">
      <c r="E51" s="45"/>
      <c r="G51" s="46"/>
      <c r="H51" s="46"/>
      <c r="I51" s="46"/>
      <c r="J51" s="46"/>
      <c r="K51" s="46"/>
      <c r="L51" s="46"/>
      <c r="M51" s="46"/>
      <c r="N51" s="46"/>
      <c r="O51" s="46"/>
    </row>
    <row r="52" ht="15.75" customHeight="1">
      <c r="E52" s="45"/>
      <c r="G52" s="46"/>
      <c r="H52" s="46"/>
      <c r="I52" s="46"/>
      <c r="J52" s="46"/>
      <c r="K52" s="46"/>
      <c r="L52" s="46"/>
      <c r="M52" s="46"/>
      <c r="N52" s="46"/>
      <c r="O52" s="46"/>
    </row>
    <row r="53" ht="15.75" customHeight="1">
      <c r="E53" s="45"/>
      <c r="G53" s="46"/>
      <c r="H53" s="46"/>
      <c r="I53" s="46"/>
      <c r="J53" s="46"/>
      <c r="K53" s="46"/>
      <c r="L53" s="46"/>
      <c r="M53" s="46"/>
      <c r="N53" s="46"/>
      <c r="O53" s="46"/>
    </row>
    <row r="54" ht="15.75" customHeight="1">
      <c r="E54" s="45"/>
      <c r="G54" s="46"/>
      <c r="H54" s="46"/>
      <c r="I54" s="46"/>
      <c r="J54" s="46"/>
      <c r="K54" s="46"/>
      <c r="L54" s="46"/>
      <c r="M54" s="46"/>
      <c r="N54" s="46"/>
      <c r="O54" s="46"/>
    </row>
    <row r="55" ht="15.75" customHeight="1">
      <c r="E55" s="45"/>
      <c r="G55" s="46"/>
      <c r="H55" s="46"/>
      <c r="I55" s="46"/>
      <c r="J55" s="46"/>
      <c r="K55" s="46"/>
      <c r="L55" s="46"/>
      <c r="M55" s="46"/>
      <c r="N55" s="46"/>
      <c r="O55" s="46"/>
    </row>
    <row r="56" ht="15.75" customHeight="1">
      <c r="E56" s="45"/>
      <c r="G56" s="46"/>
      <c r="H56" s="46"/>
      <c r="I56" s="46"/>
      <c r="J56" s="46"/>
      <c r="K56" s="46"/>
      <c r="L56" s="46"/>
      <c r="M56" s="46"/>
      <c r="N56" s="46"/>
      <c r="O56" s="46"/>
    </row>
    <row r="57" ht="15.75" customHeight="1">
      <c r="E57" s="45"/>
      <c r="G57" s="46"/>
      <c r="H57" s="46"/>
      <c r="I57" s="46"/>
      <c r="J57" s="46"/>
      <c r="K57" s="46"/>
      <c r="L57" s="46"/>
      <c r="M57" s="46"/>
      <c r="N57" s="46"/>
      <c r="O57" s="46"/>
    </row>
    <row r="58" ht="15.75" customHeight="1">
      <c r="E58" s="45"/>
      <c r="G58" s="46"/>
      <c r="H58" s="46"/>
      <c r="I58" s="46"/>
      <c r="J58" s="46"/>
      <c r="K58" s="46"/>
      <c r="L58" s="46"/>
      <c r="M58" s="46"/>
      <c r="N58" s="46"/>
      <c r="O58" s="46"/>
    </row>
    <row r="59" ht="15.75" customHeight="1">
      <c r="E59" s="45"/>
      <c r="G59" s="46"/>
      <c r="H59" s="46"/>
      <c r="I59" s="46"/>
      <c r="J59" s="46"/>
      <c r="K59" s="46"/>
      <c r="L59" s="46"/>
      <c r="M59" s="46"/>
      <c r="N59" s="46"/>
      <c r="O59" s="46"/>
    </row>
    <row r="60" ht="15.75" customHeight="1">
      <c r="E60" s="45"/>
      <c r="G60" s="46"/>
      <c r="H60" s="46"/>
      <c r="I60" s="46"/>
      <c r="J60" s="46"/>
      <c r="K60" s="46"/>
      <c r="L60" s="46"/>
      <c r="M60" s="46"/>
      <c r="N60" s="46"/>
      <c r="O60" s="46"/>
    </row>
    <row r="61" ht="15.75" customHeight="1">
      <c r="E61" s="45"/>
      <c r="G61" s="46"/>
      <c r="H61" s="46"/>
      <c r="I61" s="46"/>
      <c r="J61" s="46"/>
      <c r="K61" s="46"/>
      <c r="L61" s="46"/>
      <c r="M61" s="46"/>
      <c r="N61" s="46"/>
      <c r="O61" s="46"/>
    </row>
    <row r="62" ht="15.75" customHeight="1">
      <c r="E62" s="45"/>
      <c r="G62" s="46"/>
      <c r="H62" s="46"/>
      <c r="I62" s="46"/>
      <c r="J62" s="46"/>
      <c r="K62" s="46"/>
      <c r="L62" s="46"/>
      <c r="M62" s="46"/>
      <c r="N62" s="46"/>
      <c r="O62" s="46"/>
    </row>
    <row r="63" ht="15.75" customHeight="1">
      <c r="E63" s="45"/>
      <c r="G63" s="46"/>
      <c r="H63" s="46"/>
      <c r="I63" s="46"/>
      <c r="J63" s="46"/>
      <c r="K63" s="46"/>
      <c r="L63" s="46"/>
      <c r="M63" s="46"/>
      <c r="N63" s="46"/>
      <c r="O63" s="46"/>
    </row>
    <row r="64" ht="15.75" customHeight="1">
      <c r="E64" s="45"/>
      <c r="G64" s="46"/>
      <c r="H64" s="46"/>
      <c r="I64" s="46"/>
      <c r="J64" s="46"/>
      <c r="K64" s="46"/>
      <c r="L64" s="46"/>
      <c r="M64" s="46"/>
      <c r="N64" s="46"/>
      <c r="O64" s="46"/>
    </row>
    <row r="65" ht="15.75" customHeight="1">
      <c r="E65" s="45"/>
      <c r="G65" s="46"/>
      <c r="H65" s="46"/>
      <c r="I65" s="46"/>
      <c r="J65" s="46"/>
      <c r="K65" s="46"/>
      <c r="L65" s="46"/>
      <c r="M65" s="46"/>
      <c r="N65" s="46"/>
      <c r="O65" s="46"/>
    </row>
    <row r="66" ht="15.75" customHeight="1">
      <c r="E66" s="45"/>
      <c r="G66" s="46"/>
      <c r="H66" s="46"/>
      <c r="I66" s="46"/>
      <c r="J66" s="46"/>
      <c r="K66" s="46"/>
      <c r="L66" s="46"/>
      <c r="M66" s="46"/>
      <c r="N66" s="46"/>
      <c r="O66" s="46"/>
    </row>
    <row r="67" ht="15.75" customHeight="1">
      <c r="E67" s="45"/>
      <c r="G67" s="46"/>
      <c r="H67" s="46"/>
      <c r="I67" s="46"/>
      <c r="J67" s="46"/>
      <c r="K67" s="46"/>
      <c r="L67" s="46"/>
      <c r="M67" s="46"/>
      <c r="N67" s="46"/>
      <c r="O67" s="46"/>
    </row>
    <row r="68" ht="15.75" customHeight="1">
      <c r="E68" s="45"/>
      <c r="G68" s="46"/>
      <c r="H68" s="46"/>
      <c r="I68" s="46"/>
      <c r="J68" s="46"/>
      <c r="K68" s="46"/>
      <c r="L68" s="46"/>
      <c r="M68" s="46"/>
      <c r="N68" s="46"/>
      <c r="O68" s="46"/>
    </row>
    <row r="69" ht="15.75" customHeight="1">
      <c r="E69" s="45"/>
      <c r="G69" s="46"/>
      <c r="H69" s="46"/>
      <c r="I69" s="46"/>
      <c r="J69" s="46"/>
      <c r="K69" s="46"/>
      <c r="L69" s="46"/>
      <c r="M69" s="46"/>
      <c r="N69" s="46"/>
      <c r="O69" s="46"/>
    </row>
    <row r="70" ht="15.75" customHeight="1">
      <c r="E70" s="45"/>
      <c r="G70" s="46"/>
      <c r="H70" s="46"/>
      <c r="I70" s="46"/>
      <c r="J70" s="46"/>
      <c r="K70" s="46"/>
      <c r="L70" s="46"/>
      <c r="M70" s="46"/>
      <c r="N70" s="46"/>
      <c r="O70" s="46"/>
    </row>
    <row r="71" ht="15.75" customHeight="1">
      <c r="E71" s="45"/>
      <c r="G71" s="46"/>
      <c r="H71" s="46"/>
      <c r="I71" s="46"/>
      <c r="J71" s="46"/>
      <c r="K71" s="46"/>
      <c r="L71" s="46"/>
      <c r="M71" s="46"/>
      <c r="N71" s="46"/>
      <c r="O71" s="46"/>
    </row>
    <row r="72" ht="15.75" customHeight="1">
      <c r="E72" s="45"/>
      <c r="G72" s="46"/>
      <c r="H72" s="46"/>
      <c r="I72" s="46"/>
      <c r="J72" s="46"/>
      <c r="K72" s="46"/>
      <c r="L72" s="46"/>
      <c r="M72" s="46"/>
      <c r="N72" s="46"/>
      <c r="O72" s="46"/>
    </row>
    <row r="73" ht="15.75" customHeight="1">
      <c r="E73" s="45"/>
      <c r="G73" s="46"/>
      <c r="H73" s="46"/>
      <c r="I73" s="46"/>
      <c r="J73" s="46"/>
      <c r="K73" s="46"/>
      <c r="L73" s="46"/>
      <c r="M73" s="46"/>
      <c r="N73" s="46"/>
      <c r="O73" s="46"/>
    </row>
    <row r="74" ht="15.75" customHeight="1">
      <c r="E74" s="45"/>
      <c r="G74" s="46"/>
      <c r="H74" s="46"/>
      <c r="I74" s="46"/>
      <c r="J74" s="46"/>
      <c r="K74" s="46"/>
      <c r="L74" s="46"/>
      <c r="M74" s="46"/>
      <c r="N74" s="46"/>
      <c r="O74" s="46"/>
    </row>
    <row r="75" ht="15.75" customHeight="1">
      <c r="E75" s="45"/>
      <c r="G75" s="46"/>
      <c r="H75" s="46"/>
      <c r="I75" s="46"/>
      <c r="J75" s="46"/>
      <c r="K75" s="46"/>
      <c r="L75" s="46"/>
      <c r="M75" s="46"/>
      <c r="N75" s="46"/>
      <c r="O75" s="46"/>
    </row>
    <row r="76" ht="15.75" customHeight="1">
      <c r="E76" s="45"/>
      <c r="G76" s="46"/>
      <c r="H76" s="46"/>
      <c r="I76" s="46"/>
      <c r="J76" s="46"/>
      <c r="K76" s="46"/>
      <c r="L76" s="46"/>
      <c r="M76" s="46"/>
      <c r="N76" s="46"/>
      <c r="O76" s="46"/>
    </row>
    <row r="77" ht="15.75" customHeight="1">
      <c r="E77" s="45"/>
      <c r="G77" s="46"/>
      <c r="H77" s="46"/>
      <c r="I77" s="46"/>
      <c r="J77" s="46"/>
      <c r="K77" s="46"/>
      <c r="L77" s="46"/>
      <c r="M77" s="46"/>
      <c r="N77" s="46"/>
      <c r="O77" s="46"/>
    </row>
    <row r="78" ht="15.75" customHeight="1">
      <c r="E78" s="45"/>
      <c r="G78" s="46"/>
      <c r="H78" s="46"/>
      <c r="I78" s="46"/>
      <c r="J78" s="46"/>
      <c r="K78" s="46"/>
      <c r="L78" s="46"/>
      <c r="M78" s="46"/>
      <c r="N78" s="46"/>
      <c r="O78" s="46"/>
    </row>
    <row r="79" ht="15.75" customHeight="1">
      <c r="E79" s="45"/>
      <c r="G79" s="46"/>
      <c r="H79" s="46"/>
      <c r="I79" s="46"/>
      <c r="J79" s="46"/>
      <c r="K79" s="46"/>
      <c r="L79" s="46"/>
      <c r="M79" s="46"/>
      <c r="N79" s="46"/>
      <c r="O79" s="46"/>
    </row>
    <row r="80" ht="15.75" customHeight="1">
      <c r="E80" s="45"/>
      <c r="G80" s="46"/>
      <c r="H80" s="46"/>
      <c r="I80" s="46"/>
      <c r="J80" s="46"/>
      <c r="K80" s="46"/>
      <c r="L80" s="46"/>
      <c r="M80" s="46"/>
      <c r="N80" s="46"/>
      <c r="O80" s="46"/>
    </row>
    <row r="81" ht="15.75" customHeight="1">
      <c r="E81" s="45"/>
      <c r="G81" s="46"/>
      <c r="H81" s="46"/>
      <c r="I81" s="46"/>
      <c r="J81" s="46"/>
      <c r="K81" s="46"/>
      <c r="L81" s="46"/>
      <c r="M81" s="46"/>
      <c r="N81" s="46"/>
      <c r="O81" s="46"/>
    </row>
    <row r="82" ht="15.75" customHeight="1">
      <c r="E82" s="45"/>
      <c r="G82" s="46"/>
      <c r="H82" s="46"/>
      <c r="I82" s="46"/>
      <c r="J82" s="46"/>
      <c r="K82" s="46"/>
      <c r="L82" s="46"/>
      <c r="M82" s="46"/>
      <c r="N82" s="46"/>
      <c r="O82" s="46"/>
    </row>
    <row r="83" ht="15.75" customHeight="1">
      <c r="E83" s="45"/>
      <c r="G83" s="46"/>
      <c r="H83" s="46"/>
      <c r="I83" s="46"/>
      <c r="J83" s="46"/>
      <c r="K83" s="46"/>
      <c r="L83" s="46"/>
      <c r="M83" s="46"/>
      <c r="N83" s="46"/>
      <c r="O83" s="46"/>
    </row>
    <row r="84" ht="15.75" customHeight="1">
      <c r="E84" s="45"/>
      <c r="G84" s="46"/>
      <c r="H84" s="46"/>
      <c r="I84" s="46"/>
      <c r="J84" s="46"/>
      <c r="K84" s="46"/>
      <c r="L84" s="46"/>
      <c r="M84" s="46"/>
      <c r="N84" s="46"/>
      <c r="O84" s="46"/>
    </row>
    <row r="85" ht="15.75" customHeight="1">
      <c r="E85" s="45"/>
      <c r="G85" s="46"/>
      <c r="H85" s="46"/>
      <c r="I85" s="46"/>
      <c r="J85" s="46"/>
      <c r="K85" s="46"/>
      <c r="L85" s="46"/>
      <c r="M85" s="46"/>
      <c r="N85" s="46"/>
      <c r="O85" s="46"/>
    </row>
    <row r="86" ht="15.75" customHeight="1">
      <c r="E86" s="45"/>
      <c r="G86" s="46"/>
      <c r="H86" s="46"/>
      <c r="I86" s="46"/>
      <c r="J86" s="46"/>
      <c r="K86" s="46"/>
      <c r="L86" s="46"/>
      <c r="M86" s="46"/>
      <c r="N86" s="46"/>
      <c r="O86" s="46"/>
    </row>
    <row r="87" ht="15.75" customHeight="1">
      <c r="E87" s="45"/>
      <c r="G87" s="46"/>
      <c r="H87" s="46"/>
      <c r="I87" s="46"/>
      <c r="J87" s="46"/>
      <c r="K87" s="46"/>
      <c r="L87" s="46"/>
      <c r="M87" s="46"/>
      <c r="N87" s="46"/>
      <c r="O87" s="46"/>
    </row>
    <row r="88" ht="15.75" customHeight="1">
      <c r="E88" s="45"/>
      <c r="G88" s="46"/>
      <c r="H88" s="46"/>
      <c r="I88" s="46"/>
      <c r="J88" s="46"/>
      <c r="K88" s="46"/>
      <c r="L88" s="46"/>
      <c r="M88" s="46"/>
      <c r="N88" s="46"/>
      <c r="O88" s="46"/>
    </row>
    <row r="89" ht="15.75" customHeight="1">
      <c r="E89" s="45"/>
      <c r="G89" s="46"/>
      <c r="H89" s="46"/>
      <c r="I89" s="46"/>
      <c r="J89" s="46"/>
      <c r="K89" s="46"/>
      <c r="L89" s="46"/>
      <c r="M89" s="46"/>
      <c r="N89" s="46"/>
      <c r="O89" s="46"/>
    </row>
    <row r="90" ht="15.75" customHeight="1">
      <c r="E90" s="45"/>
      <c r="G90" s="46"/>
      <c r="H90" s="46"/>
      <c r="I90" s="46"/>
      <c r="J90" s="46"/>
      <c r="K90" s="46"/>
      <c r="L90" s="46"/>
      <c r="M90" s="46"/>
      <c r="N90" s="46"/>
      <c r="O90" s="46"/>
    </row>
    <row r="91" ht="15.75" customHeight="1">
      <c r="E91" s="45"/>
      <c r="G91" s="46"/>
      <c r="H91" s="46"/>
      <c r="I91" s="46"/>
      <c r="J91" s="46"/>
      <c r="K91" s="46"/>
      <c r="L91" s="46"/>
      <c r="M91" s="46"/>
      <c r="N91" s="46"/>
      <c r="O91" s="46"/>
    </row>
    <row r="92" ht="15.75" customHeight="1">
      <c r="E92" s="45"/>
      <c r="G92" s="46"/>
      <c r="H92" s="46"/>
      <c r="I92" s="46"/>
      <c r="J92" s="46"/>
      <c r="K92" s="46"/>
      <c r="L92" s="46"/>
      <c r="M92" s="46"/>
      <c r="N92" s="46"/>
      <c r="O92" s="46"/>
    </row>
    <row r="93" ht="15.75" customHeight="1">
      <c r="E93" s="45"/>
      <c r="G93" s="46"/>
      <c r="H93" s="46"/>
      <c r="I93" s="46"/>
      <c r="J93" s="46"/>
      <c r="K93" s="46"/>
      <c r="L93" s="46"/>
      <c r="M93" s="46"/>
      <c r="N93" s="46"/>
      <c r="O93" s="46"/>
    </row>
    <row r="94" ht="15.75" customHeight="1">
      <c r="E94" s="45"/>
      <c r="G94" s="46"/>
      <c r="H94" s="46"/>
      <c r="I94" s="46"/>
      <c r="J94" s="46"/>
      <c r="K94" s="46"/>
      <c r="L94" s="46"/>
      <c r="M94" s="46"/>
      <c r="N94" s="46"/>
      <c r="O94" s="46"/>
    </row>
    <row r="95" ht="15.75" customHeight="1">
      <c r="E95" s="45"/>
      <c r="G95" s="46"/>
      <c r="H95" s="46"/>
      <c r="I95" s="46"/>
      <c r="J95" s="46"/>
      <c r="K95" s="46"/>
      <c r="L95" s="46"/>
      <c r="M95" s="46"/>
      <c r="N95" s="46"/>
      <c r="O95" s="46"/>
    </row>
    <row r="96" ht="15.75" customHeight="1">
      <c r="E96" s="45"/>
      <c r="G96" s="46"/>
      <c r="H96" s="46"/>
      <c r="I96" s="46"/>
      <c r="J96" s="46"/>
      <c r="K96" s="46"/>
      <c r="L96" s="46"/>
      <c r="M96" s="46"/>
      <c r="N96" s="46"/>
      <c r="O96" s="46"/>
    </row>
    <row r="97" ht="15.75" customHeight="1">
      <c r="E97" s="45"/>
      <c r="G97" s="46"/>
      <c r="H97" s="46"/>
      <c r="I97" s="46"/>
      <c r="J97" s="46"/>
      <c r="K97" s="46"/>
      <c r="L97" s="46"/>
      <c r="M97" s="46"/>
      <c r="N97" s="46"/>
      <c r="O97" s="46"/>
    </row>
    <row r="98" ht="15.75" customHeight="1">
      <c r="E98" s="45"/>
      <c r="G98" s="46"/>
      <c r="H98" s="46"/>
      <c r="I98" s="46"/>
      <c r="J98" s="46"/>
      <c r="K98" s="46"/>
      <c r="L98" s="46"/>
      <c r="M98" s="46"/>
      <c r="N98" s="46"/>
      <c r="O98" s="46"/>
    </row>
    <row r="99" ht="15.75" customHeight="1">
      <c r="E99" s="45"/>
      <c r="G99" s="46"/>
      <c r="H99" s="46"/>
      <c r="I99" s="46"/>
      <c r="J99" s="46"/>
      <c r="K99" s="46"/>
      <c r="L99" s="46"/>
      <c r="M99" s="46"/>
      <c r="N99" s="46"/>
      <c r="O99" s="46"/>
    </row>
    <row r="100" ht="15.75" customHeight="1">
      <c r="E100" s="45"/>
      <c r="G100" s="46"/>
      <c r="H100" s="46"/>
      <c r="I100" s="46"/>
      <c r="J100" s="46"/>
      <c r="K100" s="46"/>
      <c r="L100" s="46"/>
      <c r="M100" s="46"/>
      <c r="N100" s="46"/>
      <c r="O100" s="46"/>
    </row>
    <row r="101" ht="15.75" customHeight="1">
      <c r="E101" s="45"/>
      <c r="G101" s="46"/>
      <c r="H101" s="46"/>
      <c r="I101" s="46"/>
      <c r="J101" s="46"/>
      <c r="K101" s="46"/>
      <c r="L101" s="46"/>
      <c r="M101" s="46"/>
      <c r="N101" s="46"/>
      <c r="O101" s="46"/>
    </row>
    <row r="102" ht="15.75" customHeight="1">
      <c r="E102" s="45"/>
      <c r="G102" s="46"/>
      <c r="H102" s="46"/>
      <c r="I102" s="46"/>
      <c r="J102" s="46"/>
      <c r="K102" s="46"/>
      <c r="L102" s="46"/>
      <c r="M102" s="46"/>
      <c r="N102" s="46"/>
      <c r="O102" s="46"/>
    </row>
    <row r="103" ht="15.75" customHeight="1">
      <c r="E103" s="45"/>
      <c r="G103" s="46"/>
      <c r="H103" s="46"/>
      <c r="I103" s="46"/>
      <c r="J103" s="46"/>
      <c r="K103" s="46"/>
      <c r="L103" s="46"/>
      <c r="M103" s="46"/>
      <c r="N103" s="46"/>
      <c r="O103" s="46"/>
    </row>
    <row r="104" ht="15.75" customHeight="1">
      <c r="E104" s="45"/>
      <c r="G104" s="46"/>
      <c r="H104" s="46"/>
      <c r="I104" s="46"/>
      <c r="J104" s="46"/>
      <c r="K104" s="46"/>
      <c r="L104" s="46"/>
      <c r="M104" s="46"/>
      <c r="N104" s="46"/>
      <c r="O104" s="46"/>
    </row>
    <row r="105" ht="15.75" customHeight="1">
      <c r="E105" s="45"/>
      <c r="G105" s="46"/>
      <c r="H105" s="46"/>
      <c r="I105" s="46"/>
      <c r="J105" s="46"/>
      <c r="K105" s="46"/>
      <c r="L105" s="46"/>
      <c r="M105" s="46"/>
      <c r="N105" s="46"/>
      <c r="O105" s="46"/>
    </row>
    <row r="106" ht="15.75" customHeight="1">
      <c r="E106" s="45"/>
      <c r="G106" s="46"/>
      <c r="H106" s="46"/>
      <c r="I106" s="46"/>
      <c r="J106" s="46"/>
      <c r="K106" s="46"/>
      <c r="L106" s="46"/>
      <c r="M106" s="46"/>
      <c r="N106" s="46"/>
      <c r="O106" s="46"/>
    </row>
    <row r="107" ht="15.75" customHeight="1">
      <c r="E107" s="45"/>
      <c r="G107" s="46"/>
      <c r="H107" s="46"/>
      <c r="I107" s="46"/>
      <c r="J107" s="46"/>
      <c r="K107" s="46"/>
      <c r="L107" s="46"/>
      <c r="M107" s="46"/>
      <c r="N107" s="46"/>
      <c r="O107" s="46"/>
    </row>
    <row r="108" ht="15.75" customHeight="1">
      <c r="E108" s="45"/>
      <c r="G108" s="46"/>
      <c r="H108" s="46"/>
      <c r="I108" s="46"/>
      <c r="J108" s="46"/>
      <c r="K108" s="46"/>
      <c r="L108" s="46"/>
      <c r="M108" s="46"/>
      <c r="N108" s="46"/>
      <c r="O108" s="46"/>
    </row>
    <row r="109" ht="15.75" customHeight="1">
      <c r="E109" s="45"/>
      <c r="G109" s="46"/>
      <c r="H109" s="46"/>
      <c r="I109" s="46"/>
      <c r="J109" s="46"/>
      <c r="K109" s="46"/>
      <c r="L109" s="46"/>
      <c r="M109" s="46"/>
      <c r="N109" s="46"/>
      <c r="O109" s="46"/>
    </row>
    <row r="110" ht="15.75" customHeight="1">
      <c r="E110" s="45"/>
      <c r="G110" s="46"/>
      <c r="H110" s="46"/>
      <c r="I110" s="46"/>
      <c r="J110" s="46"/>
      <c r="K110" s="46"/>
      <c r="L110" s="46"/>
      <c r="M110" s="46"/>
      <c r="N110" s="46"/>
      <c r="O110" s="46"/>
    </row>
    <row r="111" ht="15.75" customHeight="1">
      <c r="E111" s="45"/>
      <c r="G111" s="46"/>
      <c r="H111" s="46"/>
      <c r="I111" s="46"/>
      <c r="J111" s="46"/>
      <c r="K111" s="46"/>
      <c r="L111" s="46"/>
      <c r="M111" s="46"/>
      <c r="N111" s="46"/>
      <c r="O111" s="46"/>
    </row>
    <row r="112" ht="15.75" customHeight="1">
      <c r="E112" s="45"/>
      <c r="G112" s="46"/>
      <c r="H112" s="46"/>
      <c r="I112" s="46"/>
      <c r="J112" s="46"/>
      <c r="K112" s="46"/>
      <c r="L112" s="46"/>
      <c r="M112" s="46"/>
      <c r="N112" s="46"/>
      <c r="O112" s="46"/>
    </row>
    <row r="113" ht="15.75" customHeight="1">
      <c r="E113" s="45"/>
      <c r="G113" s="46"/>
      <c r="H113" s="46"/>
      <c r="I113" s="46"/>
      <c r="J113" s="46"/>
      <c r="K113" s="46"/>
      <c r="L113" s="46"/>
      <c r="M113" s="46"/>
      <c r="N113" s="46"/>
      <c r="O113" s="46"/>
    </row>
    <row r="114" ht="15.75" customHeight="1">
      <c r="E114" s="45"/>
      <c r="G114" s="46"/>
      <c r="H114" s="46"/>
      <c r="I114" s="46"/>
      <c r="J114" s="46"/>
      <c r="K114" s="46"/>
      <c r="L114" s="46"/>
      <c r="M114" s="46"/>
      <c r="N114" s="46"/>
      <c r="O114" s="46"/>
    </row>
    <row r="115" ht="15.75" customHeight="1">
      <c r="E115" s="45"/>
      <c r="G115" s="46"/>
      <c r="H115" s="46"/>
      <c r="I115" s="46"/>
      <c r="J115" s="46"/>
      <c r="K115" s="46"/>
      <c r="L115" s="46"/>
      <c r="M115" s="46"/>
      <c r="N115" s="46"/>
      <c r="O115" s="46"/>
    </row>
    <row r="116" ht="15.75" customHeight="1">
      <c r="E116" s="45"/>
      <c r="G116" s="46"/>
      <c r="H116" s="46"/>
      <c r="I116" s="46"/>
      <c r="J116" s="46"/>
      <c r="K116" s="46"/>
      <c r="L116" s="46"/>
      <c r="M116" s="46"/>
      <c r="N116" s="46"/>
      <c r="O116" s="46"/>
    </row>
    <row r="117" ht="15.75" customHeight="1">
      <c r="E117" s="45"/>
      <c r="G117" s="46"/>
      <c r="H117" s="46"/>
      <c r="I117" s="46"/>
      <c r="J117" s="46"/>
      <c r="K117" s="46"/>
      <c r="L117" s="46"/>
      <c r="M117" s="46"/>
      <c r="N117" s="46"/>
      <c r="O117" s="46"/>
    </row>
    <row r="118" ht="15.75" customHeight="1">
      <c r="E118" s="45"/>
      <c r="G118" s="46"/>
      <c r="H118" s="46"/>
      <c r="I118" s="46"/>
      <c r="J118" s="46"/>
      <c r="K118" s="46"/>
      <c r="L118" s="46"/>
      <c r="M118" s="46"/>
      <c r="N118" s="46"/>
      <c r="O118" s="46"/>
    </row>
    <row r="119" ht="15.75" customHeight="1">
      <c r="E119" s="45"/>
      <c r="G119" s="46"/>
      <c r="H119" s="46"/>
      <c r="I119" s="46"/>
      <c r="J119" s="46"/>
      <c r="K119" s="46"/>
      <c r="L119" s="46"/>
      <c r="M119" s="46"/>
      <c r="N119" s="46"/>
      <c r="O119" s="46"/>
    </row>
    <row r="120" ht="15.75" customHeight="1">
      <c r="E120" s="45"/>
      <c r="G120" s="46"/>
      <c r="H120" s="46"/>
      <c r="I120" s="46"/>
      <c r="J120" s="46"/>
      <c r="K120" s="46"/>
      <c r="L120" s="46"/>
      <c r="M120" s="46"/>
      <c r="N120" s="46"/>
      <c r="O120" s="46"/>
    </row>
    <row r="121" ht="15.75" customHeight="1">
      <c r="E121" s="45"/>
      <c r="G121" s="46"/>
      <c r="H121" s="46"/>
      <c r="I121" s="46"/>
      <c r="J121" s="46"/>
      <c r="K121" s="46"/>
      <c r="L121" s="46"/>
      <c r="M121" s="46"/>
      <c r="N121" s="46"/>
      <c r="O121" s="46"/>
    </row>
    <row r="122" ht="15.75" customHeight="1">
      <c r="E122" s="45"/>
      <c r="G122" s="46"/>
      <c r="H122" s="46"/>
      <c r="I122" s="46"/>
      <c r="J122" s="46"/>
      <c r="K122" s="46"/>
      <c r="L122" s="46"/>
      <c r="M122" s="46"/>
      <c r="N122" s="46"/>
      <c r="O122" s="46"/>
    </row>
    <row r="123" ht="15.75" customHeight="1">
      <c r="E123" s="45"/>
      <c r="G123" s="46"/>
      <c r="H123" s="46"/>
      <c r="I123" s="46"/>
      <c r="J123" s="46"/>
      <c r="K123" s="46"/>
      <c r="L123" s="46"/>
      <c r="M123" s="46"/>
      <c r="N123" s="46"/>
      <c r="O123" s="46"/>
    </row>
    <row r="124" ht="15.75" customHeight="1">
      <c r="E124" s="45"/>
      <c r="G124" s="46"/>
      <c r="H124" s="46"/>
      <c r="I124" s="46"/>
      <c r="J124" s="46"/>
      <c r="K124" s="46"/>
      <c r="L124" s="46"/>
      <c r="M124" s="46"/>
      <c r="N124" s="46"/>
      <c r="O124" s="46"/>
    </row>
    <row r="125" ht="15.75" customHeight="1">
      <c r="E125" s="45"/>
      <c r="G125" s="46"/>
      <c r="H125" s="46"/>
      <c r="I125" s="46"/>
      <c r="J125" s="46"/>
      <c r="K125" s="46"/>
      <c r="L125" s="46"/>
      <c r="M125" s="46"/>
      <c r="N125" s="46"/>
      <c r="O125" s="46"/>
    </row>
    <row r="126" ht="15.75" customHeight="1">
      <c r="E126" s="45"/>
      <c r="G126" s="46"/>
      <c r="H126" s="46"/>
      <c r="I126" s="46"/>
      <c r="J126" s="46"/>
      <c r="K126" s="46"/>
      <c r="L126" s="46"/>
      <c r="M126" s="46"/>
      <c r="N126" s="46"/>
      <c r="O126" s="46"/>
    </row>
    <row r="127" ht="15.75" customHeight="1">
      <c r="E127" s="45"/>
      <c r="G127" s="46"/>
      <c r="H127" s="46"/>
      <c r="I127" s="46"/>
      <c r="J127" s="46"/>
      <c r="K127" s="46"/>
      <c r="L127" s="46"/>
      <c r="M127" s="46"/>
      <c r="N127" s="46"/>
      <c r="O127" s="46"/>
    </row>
    <row r="128" ht="15.75" customHeight="1">
      <c r="E128" s="45"/>
      <c r="G128" s="46"/>
      <c r="H128" s="46"/>
      <c r="I128" s="46"/>
      <c r="J128" s="46"/>
      <c r="K128" s="46"/>
      <c r="L128" s="46"/>
      <c r="M128" s="46"/>
      <c r="N128" s="46"/>
      <c r="O128" s="46"/>
    </row>
    <row r="129" ht="15.75" customHeight="1">
      <c r="E129" s="45"/>
      <c r="G129" s="46"/>
      <c r="H129" s="46"/>
      <c r="I129" s="46"/>
      <c r="J129" s="46"/>
      <c r="K129" s="46"/>
      <c r="L129" s="46"/>
      <c r="M129" s="46"/>
      <c r="N129" s="46"/>
      <c r="O129" s="46"/>
    </row>
    <row r="130" ht="15.75" customHeight="1">
      <c r="E130" s="45"/>
      <c r="G130" s="46"/>
      <c r="H130" s="46"/>
      <c r="I130" s="46"/>
      <c r="J130" s="46"/>
      <c r="K130" s="46"/>
      <c r="L130" s="46"/>
      <c r="M130" s="46"/>
      <c r="N130" s="46"/>
      <c r="O130" s="46"/>
    </row>
    <row r="131" ht="15.75" customHeight="1">
      <c r="E131" s="45"/>
      <c r="G131" s="46"/>
      <c r="H131" s="46"/>
      <c r="I131" s="46"/>
      <c r="J131" s="46"/>
      <c r="K131" s="46"/>
      <c r="L131" s="46"/>
      <c r="M131" s="46"/>
      <c r="N131" s="46"/>
      <c r="O131" s="46"/>
    </row>
    <row r="132" ht="15.75" customHeight="1">
      <c r="E132" s="45"/>
      <c r="G132" s="46"/>
      <c r="H132" s="46"/>
      <c r="I132" s="46"/>
      <c r="J132" s="46"/>
      <c r="K132" s="46"/>
      <c r="L132" s="46"/>
      <c r="M132" s="46"/>
      <c r="N132" s="46"/>
      <c r="O132" s="46"/>
    </row>
    <row r="133" ht="15.75" customHeight="1">
      <c r="E133" s="45"/>
      <c r="G133" s="46"/>
      <c r="H133" s="46"/>
      <c r="I133" s="46"/>
      <c r="J133" s="46"/>
      <c r="K133" s="46"/>
      <c r="L133" s="46"/>
      <c r="M133" s="46"/>
      <c r="N133" s="46"/>
      <c r="O133" s="46"/>
    </row>
    <row r="134" ht="15.75" customHeight="1">
      <c r="E134" s="45"/>
      <c r="G134" s="46"/>
      <c r="H134" s="46"/>
      <c r="I134" s="46"/>
      <c r="J134" s="46"/>
      <c r="K134" s="46"/>
      <c r="L134" s="46"/>
      <c r="M134" s="46"/>
      <c r="N134" s="46"/>
      <c r="O134" s="46"/>
    </row>
    <row r="135" ht="15.75" customHeight="1">
      <c r="E135" s="45"/>
      <c r="G135" s="46"/>
      <c r="H135" s="46"/>
      <c r="I135" s="46"/>
      <c r="J135" s="46"/>
      <c r="K135" s="46"/>
      <c r="L135" s="46"/>
      <c r="M135" s="46"/>
      <c r="N135" s="46"/>
      <c r="O135" s="46"/>
    </row>
    <row r="136" ht="15.75" customHeight="1">
      <c r="E136" s="45"/>
      <c r="G136" s="46"/>
      <c r="H136" s="46"/>
      <c r="I136" s="46"/>
      <c r="J136" s="46"/>
      <c r="K136" s="46"/>
      <c r="L136" s="46"/>
      <c r="M136" s="46"/>
      <c r="N136" s="46"/>
      <c r="O136" s="46"/>
    </row>
    <row r="137" ht="15.75" customHeight="1">
      <c r="E137" s="45"/>
      <c r="G137" s="46"/>
      <c r="H137" s="46"/>
      <c r="I137" s="46"/>
      <c r="J137" s="46"/>
      <c r="K137" s="46"/>
      <c r="L137" s="46"/>
      <c r="M137" s="46"/>
      <c r="N137" s="46"/>
      <c r="O137" s="46"/>
    </row>
    <row r="138" ht="15.75" customHeight="1">
      <c r="E138" s="45"/>
      <c r="G138" s="46"/>
      <c r="H138" s="46"/>
      <c r="I138" s="46"/>
      <c r="J138" s="46"/>
      <c r="K138" s="46"/>
      <c r="L138" s="46"/>
      <c r="M138" s="46"/>
      <c r="N138" s="46"/>
      <c r="O138" s="46"/>
    </row>
    <row r="139" ht="15.75" customHeight="1">
      <c r="E139" s="45"/>
      <c r="G139" s="46"/>
      <c r="H139" s="46"/>
      <c r="I139" s="46"/>
      <c r="J139" s="46"/>
      <c r="K139" s="46"/>
      <c r="L139" s="46"/>
      <c r="M139" s="46"/>
      <c r="N139" s="46"/>
      <c r="O139" s="46"/>
    </row>
    <row r="140" ht="15.75" customHeight="1">
      <c r="E140" s="45"/>
      <c r="G140" s="46"/>
      <c r="H140" s="46"/>
      <c r="I140" s="46"/>
      <c r="J140" s="46"/>
      <c r="K140" s="46"/>
      <c r="L140" s="46"/>
      <c r="M140" s="46"/>
      <c r="N140" s="46"/>
      <c r="O140" s="46"/>
    </row>
    <row r="141" ht="15.75" customHeight="1">
      <c r="E141" s="45"/>
      <c r="G141" s="46"/>
      <c r="H141" s="46"/>
      <c r="I141" s="46"/>
      <c r="J141" s="46"/>
      <c r="K141" s="46"/>
      <c r="L141" s="46"/>
      <c r="M141" s="46"/>
      <c r="N141" s="46"/>
      <c r="O141" s="46"/>
    </row>
    <row r="142" ht="15.75" customHeight="1">
      <c r="E142" s="45"/>
      <c r="G142" s="46"/>
      <c r="H142" s="46"/>
      <c r="I142" s="46"/>
      <c r="J142" s="46"/>
      <c r="K142" s="46"/>
      <c r="L142" s="46"/>
      <c r="M142" s="46"/>
      <c r="N142" s="46"/>
      <c r="O142" s="46"/>
    </row>
    <row r="143" ht="15.75" customHeight="1">
      <c r="E143" s="45"/>
      <c r="G143" s="46"/>
      <c r="H143" s="46"/>
      <c r="I143" s="46"/>
      <c r="J143" s="46"/>
      <c r="K143" s="46"/>
      <c r="L143" s="46"/>
      <c r="M143" s="46"/>
      <c r="N143" s="46"/>
      <c r="O143" s="46"/>
    </row>
    <row r="144" ht="15.75" customHeight="1">
      <c r="E144" s="45"/>
      <c r="G144" s="46"/>
      <c r="H144" s="46"/>
      <c r="I144" s="46"/>
      <c r="J144" s="46"/>
      <c r="K144" s="46"/>
      <c r="L144" s="46"/>
      <c r="M144" s="46"/>
      <c r="N144" s="46"/>
      <c r="O144" s="46"/>
    </row>
    <row r="145" ht="15.75" customHeight="1">
      <c r="E145" s="45"/>
      <c r="G145" s="46"/>
      <c r="H145" s="46"/>
      <c r="I145" s="46"/>
      <c r="J145" s="46"/>
      <c r="K145" s="46"/>
      <c r="L145" s="46"/>
      <c r="M145" s="46"/>
      <c r="N145" s="46"/>
      <c r="O145" s="46"/>
    </row>
    <row r="146" ht="15.75" customHeight="1">
      <c r="E146" s="45"/>
      <c r="G146" s="46"/>
      <c r="H146" s="46"/>
      <c r="I146" s="46"/>
      <c r="J146" s="46"/>
      <c r="K146" s="46"/>
      <c r="L146" s="46"/>
      <c r="M146" s="46"/>
      <c r="N146" s="46"/>
      <c r="O146" s="46"/>
    </row>
    <row r="147" ht="15.75" customHeight="1">
      <c r="E147" s="45"/>
      <c r="G147" s="46"/>
      <c r="H147" s="46"/>
      <c r="I147" s="46"/>
      <c r="J147" s="46"/>
      <c r="K147" s="46"/>
      <c r="L147" s="46"/>
      <c r="M147" s="46"/>
      <c r="N147" s="46"/>
      <c r="O147" s="46"/>
    </row>
    <row r="148" ht="15.75" customHeight="1">
      <c r="E148" s="45"/>
      <c r="G148" s="46"/>
      <c r="H148" s="46"/>
      <c r="I148" s="46"/>
      <c r="J148" s="46"/>
      <c r="K148" s="46"/>
      <c r="L148" s="46"/>
      <c r="M148" s="46"/>
      <c r="N148" s="46"/>
      <c r="O148" s="46"/>
    </row>
    <row r="149" ht="15.75" customHeight="1">
      <c r="E149" s="45"/>
      <c r="G149" s="46"/>
      <c r="H149" s="46"/>
      <c r="I149" s="46"/>
      <c r="J149" s="46"/>
      <c r="K149" s="46"/>
      <c r="L149" s="46"/>
      <c r="M149" s="46"/>
      <c r="N149" s="46"/>
      <c r="O149" s="46"/>
    </row>
    <row r="150" ht="15.75" customHeight="1">
      <c r="E150" s="45"/>
      <c r="G150" s="46"/>
      <c r="H150" s="46"/>
      <c r="I150" s="46"/>
      <c r="J150" s="46"/>
      <c r="K150" s="46"/>
      <c r="L150" s="46"/>
      <c r="M150" s="46"/>
      <c r="N150" s="46"/>
      <c r="O150" s="46"/>
    </row>
    <row r="151" ht="15.75" customHeight="1">
      <c r="E151" s="45"/>
      <c r="G151" s="46"/>
      <c r="H151" s="46"/>
      <c r="I151" s="46"/>
      <c r="J151" s="46"/>
      <c r="K151" s="46"/>
      <c r="L151" s="46"/>
      <c r="M151" s="46"/>
      <c r="N151" s="46"/>
      <c r="O151" s="46"/>
    </row>
    <row r="152" ht="15.75" customHeight="1">
      <c r="E152" s="45"/>
      <c r="G152" s="46"/>
      <c r="H152" s="46"/>
      <c r="I152" s="46"/>
      <c r="J152" s="46"/>
      <c r="K152" s="46"/>
      <c r="L152" s="46"/>
      <c r="M152" s="46"/>
      <c r="N152" s="46"/>
      <c r="O152" s="46"/>
    </row>
    <row r="153" ht="15.75" customHeight="1">
      <c r="E153" s="45"/>
      <c r="G153" s="46"/>
      <c r="H153" s="46"/>
      <c r="I153" s="46"/>
      <c r="J153" s="46"/>
      <c r="K153" s="46"/>
      <c r="L153" s="46"/>
      <c r="M153" s="46"/>
      <c r="N153" s="46"/>
      <c r="O153" s="46"/>
    </row>
    <row r="154" ht="15.75" customHeight="1">
      <c r="E154" s="45"/>
      <c r="G154" s="46"/>
      <c r="H154" s="46"/>
      <c r="I154" s="46"/>
      <c r="J154" s="46"/>
      <c r="K154" s="46"/>
      <c r="L154" s="46"/>
      <c r="M154" s="46"/>
      <c r="N154" s="46"/>
      <c r="O154" s="46"/>
    </row>
    <row r="155" ht="15.75" customHeight="1">
      <c r="E155" s="45"/>
      <c r="G155" s="46"/>
      <c r="H155" s="46"/>
      <c r="I155" s="46"/>
      <c r="J155" s="46"/>
      <c r="K155" s="46"/>
      <c r="L155" s="46"/>
      <c r="M155" s="46"/>
      <c r="N155" s="46"/>
      <c r="O155" s="46"/>
    </row>
    <row r="156" ht="15.75" customHeight="1">
      <c r="E156" s="45"/>
      <c r="G156" s="46"/>
      <c r="H156" s="46"/>
      <c r="I156" s="46"/>
      <c r="J156" s="46"/>
      <c r="K156" s="46"/>
      <c r="L156" s="46"/>
      <c r="M156" s="46"/>
      <c r="N156" s="46"/>
      <c r="O156" s="46"/>
    </row>
    <row r="157" ht="15.75" customHeight="1">
      <c r="E157" s="45"/>
      <c r="G157" s="46"/>
      <c r="H157" s="46"/>
      <c r="I157" s="46"/>
      <c r="J157" s="46"/>
      <c r="K157" s="46"/>
      <c r="L157" s="46"/>
      <c r="M157" s="46"/>
      <c r="N157" s="46"/>
      <c r="O157" s="46"/>
    </row>
    <row r="158" ht="15.75" customHeight="1">
      <c r="E158" s="45"/>
      <c r="G158" s="46"/>
      <c r="H158" s="46"/>
      <c r="I158" s="46"/>
      <c r="J158" s="46"/>
      <c r="K158" s="46"/>
      <c r="L158" s="46"/>
      <c r="M158" s="46"/>
      <c r="N158" s="46"/>
      <c r="O158" s="46"/>
    </row>
    <row r="159" ht="15.75" customHeight="1">
      <c r="E159" s="45"/>
      <c r="G159" s="46"/>
      <c r="H159" s="46"/>
      <c r="I159" s="46"/>
      <c r="J159" s="46"/>
      <c r="K159" s="46"/>
      <c r="L159" s="46"/>
      <c r="M159" s="46"/>
      <c r="N159" s="46"/>
      <c r="O159" s="46"/>
    </row>
    <row r="160" ht="15.75" customHeight="1">
      <c r="E160" s="45"/>
      <c r="G160" s="46"/>
      <c r="H160" s="46"/>
      <c r="I160" s="46"/>
      <c r="J160" s="46"/>
      <c r="K160" s="46"/>
      <c r="L160" s="46"/>
      <c r="M160" s="46"/>
      <c r="N160" s="46"/>
      <c r="O160" s="46"/>
    </row>
    <row r="161" ht="15.75" customHeight="1">
      <c r="E161" s="45"/>
      <c r="G161" s="46"/>
      <c r="H161" s="46"/>
      <c r="I161" s="46"/>
      <c r="J161" s="46"/>
      <c r="K161" s="46"/>
      <c r="L161" s="46"/>
      <c r="M161" s="46"/>
      <c r="N161" s="46"/>
      <c r="O161" s="46"/>
    </row>
    <row r="162" ht="15.75" customHeight="1">
      <c r="E162" s="45"/>
      <c r="G162" s="46"/>
      <c r="H162" s="46"/>
      <c r="I162" s="46"/>
      <c r="J162" s="46"/>
      <c r="K162" s="46"/>
      <c r="L162" s="46"/>
      <c r="M162" s="46"/>
      <c r="N162" s="46"/>
      <c r="O162" s="46"/>
    </row>
    <row r="163" ht="15.75" customHeight="1">
      <c r="E163" s="45"/>
      <c r="G163" s="46"/>
      <c r="H163" s="46"/>
      <c r="I163" s="46"/>
      <c r="J163" s="46"/>
      <c r="K163" s="46"/>
      <c r="L163" s="46"/>
      <c r="M163" s="46"/>
      <c r="N163" s="46"/>
      <c r="O163" s="46"/>
    </row>
    <row r="164" ht="15.75" customHeight="1">
      <c r="E164" s="45"/>
      <c r="G164" s="46"/>
      <c r="H164" s="46"/>
      <c r="I164" s="46"/>
      <c r="J164" s="46"/>
      <c r="K164" s="46"/>
      <c r="L164" s="46"/>
      <c r="M164" s="46"/>
      <c r="N164" s="46"/>
      <c r="O164" s="46"/>
    </row>
    <row r="165" ht="15.75" customHeight="1">
      <c r="E165" s="45"/>
      <c r="G165" s="46"/>
      <c r="H165" s="46"/>
      <c r="I165" s="46"/>
      <c r="J165" s="46"/>
      <c r="K165" s="46"/>
      <c r="L165" s="46"/>
      <c r="M165" s="46"/>
      <c r="N165" s="46"/>
      <c r="O165" s="46"/>
    </row>
    <row r="166" ht="15.75" customHeight="1">
      <c r="E166" s="45"/>
      <c r="G166" s="46"/>
      <c r="H166" s="46"/>
      <c r="I166" s="46"/>
      <c r="J166" s="46"/>
      <c r="K166" s="46"/>
      <c r="L166" s="46"/>
      <c r="M166" s="46"/>
      <c r="N166" s="46"/>
      <c r="O166" s="46"/>
    </row>
    <row r="167" ht="15.75" customHeight="1">
      <c r="E167" s="45"/>
      <c r="G167" s="46"/>
      <c r="H167" s="46"/>
      <c r="I167" s="46"/>
      <c r="J167" s="46"/>
      <c r="K167" s="46"/>
      <c r="L167" s="46"/>
      <c r="M167" s="46"/>
      <c r="N167" s="46"/>
      <c r="O167" s="46"/>
    </row>
    <row r="168" ht="15.75" customHeight="1">
      <c r="E168" s="45"/>
      <c r="G168" s="46"/>
      <c r="H168" s="46"/>
      <c r="I168" s="46"/>
      <c r="J168" s="46"/>
      <c r="K168" s="46"/>
      <c r="L168" s="46"/>
      <c r="M168" s="46"/>
      <c r="N168" s="46"/>
      <c r="O168" s="46"/>
    </row>
    <row r="169" ht="15.75" customHeight="1">
      <c r="E169" s="45"/>
      <c r="G169" s="46"/>
      <c r="H169" s="46"/>
      <c r="I169" s="46"/>
      <c r="J169" s="46"/>
      <c r="K169" s="46"/>
      <c r="L169" s="46"/>
      <c r="M169" s="46"/>
      <c r="N169" s="46"/>
      <c r="O169" s="46"/>
    </row>
    <row r="170" ht="15.75" customHeight="1">
      <c r="E170" s="45"/>
      <c r="G170" s="46"/>
      <c r="H170" s="46"/>
      <c r="I170" s="46"/>
      <c r="J170" s="46"/>
      <c r="K170" s="46"/>
      <c r="L170" s="46"/>
      <c r="M170" s="46"/>
      <c r="N170" s="46"/>
      <c r="O170" s="46"/>
    </row>
    <row r="171" ht="15.75" customHeight="1">
      <c r="E171" s="45"/>
      <c r="G171" s="46"/>
      <c r="H171" s="46"/>
      <c r="I171" s="46"/>
      <c r="J171" s="46"/>
      <c r="K171" s="46"/>
      <c r="L171" s="46"/>
      <c r="M171" s="46"/>
      <c r="N171" s="46"/>
      <c r="O171" s="46"/>
    </row>
    <row r="172" ht="15.75" customHeight="1">
      <c r="E172" s="45"/>
      <c r="G172" s="46"/>
      <c r="H172" s="46"/>
      <c r="I172" s="46"/>
      <c r="J172" s="46"/>
      <c r="K172" s="46"/>
      <c r="L172" s="46"/>
      <c r="M172" s="46"/>
      <c r="N172" s="46"/>
      <c r="O172" s="46"/>
    </row>
    <row r="173" ht="15.75" customHeight="1">
      <c r="E173" s="45"/>
      <c r="G173" s="46"/>
      <c r="H173" s="46"/>
      <c r="I173" s="46"/>
      <c r="J173" s="46"/>
      <c r="K173" s="46"/>
      <c r="L173" s="46"/>
      <c r="M173" s="46"/>
      <c r="N173" s="46"/>
      <c r="O173" s="46"/>
    </row>
    <row r="174" ht="15.75" customHeight="1">
      <c r="E174" s="45"/>
      <c r="G174" s="46"/>
      <c r="H174" s="46"/>
      <c r="I174" s="46"/>
      <c r="J174" s="46"/>
      <c r="K174" s="46"/>
      <c r="L174" s="46"/>
      <c r="M174" s="46"/>
      <c r="N174" s="46"/>
      <c r="O174" s="46"/>
    </row>
    <row r="175" ht="15.75" customHeight="1">
      <c r="E175" s="45"/>
      <c r="G175" s="46"/>
      <c r="H175" s="46"/>
      <c r="I175" s="46"/>
      <c r="J175" s="46"/>
      <c r="K175" s="46"/>
      <c r="L175" s="46"/>
      <c r="M175" s="46"/>
      <c r="N175" s="46"/>
      <c r="O175" s="46"/>
    </row>
    <row r="176" ht="15.75" customHeight="1">
      <c r="E176" s="45"/>
      <c r="G176" s="46"/>
      <c r="H176" s="46"/>
      <c r="I176" s="46"/>
      <c r="J176" s="46"/>
      <c r="K176" s="46"/>
      <c r="L176" s="46"/>
      <c r="M176" s="46"/>
      <c r="N176" s="46"/>
      <c r="O176" s="46"/>
    </row>
    <row r="177" ht="15.75" customHeight="1">
      <c r="E177" s="45"/>
      <c r="G177" s="46"/>
      <c r="H177" s="46"/>
      <c r="I177" s="46"/>
      <c r="J177" s="46"/>
      <c r="K177" s="46"/>
      <c r="L177" s="46"/>
      <c r="M177" s="46"/>
      <c r="N177" s="46"/>
      <c r="O177" s="46"/>
    </row>
    <row r="178" ht="15.75" customHeight="1">
      <c r="E178" s="45"/>
      <c r="G178" s="46"/>
      <c r="H178" s="46"/>
      <c r="I178" s="46"/>
      <c r="J178" s="46"/>
      <c r="K178" s="46"/>
      <c r="L178" s="46"/>
      <c r="M178" s="46"/>
      <c r="N178" s="46"/>
      <c r="O178" s="46"/>
    </row>
    <row r="179" ht="15.75" customHeight="1">
      <c r="E179" s="45"/>
      <c r="G179" s="46"/>
      <c r="H179" s="46"/>
      <c r="I179" s="46"/>
      <c r="J179" s="46"/>
      <c r="K179" s="46"/>
      <c r="L179" s="46"/>
      <c r="M179" s="46"/>
      <c r="N179" s="46"/>
      <c r="O179" s="46"/>
    </row>
    <row r="180" ht="15.75" customHeight="1">
      <c r="E180" s="45"/>
      <c r="G180" s="46"/>
      <c r="H180" s="46"/>
      <c r="I180" s="46"/>
      <c r="J180" s="46"/>
      <c r="K180" s="46"/>
      <c r="L180" s="46"/>
      <c r="M180" s="46"/>
      <c r="N180" s="46"/>
      <c r="O180" s="46"/>
    </row>
    <row r="181" ht="15.75" customHeight="1">
      <c r="E181" s="45"/>
      <c r="G181" s="46"/>
      <c r="H181" s="46"/>
      <c r="I181" s="46"/>
      <c r="J181" s="46"/>
      <c r="K181" s="46"/>
      <c r="L181" s="46"/>
      <c r="M181" s="46"/>
      <c r="N181" s="46"/>
      <c r="O181" s="46"/>
    </row>
    <row r="182" ht="15.75" customHeight="1">
      <c r="E182" s="45"/>
      <c r="G182" s="46"/>
      <c r="H182" s="46"/>
      <c r="I182" s="46"/>
      <c r="J182" s="46"/>
      <c r="K182" s="46"/>
      <c r="L182" s="46"/>
      <c r="M182" s="46"/>
      <c r="N182" s="46"/>
      <c r="O182" s="46"/>
    </row>
    <row r="183" ht="15.75" customHeight="1">
      <c r="E183" s="45"/>
      <c r="G183" s="46"/>
      <c r="H183" s="46"/>
      <c r="I183" s="46"/>
      <c r="J183" s="46"/>
      <c r="K183" s="46"/>
      <c r="L183" s="46"/>
      <c r="M183" s="46"/>
      <c r="N183" s="46"/>
      <c r="O183" s="46"/>
    </row>
    <row r="184" ht="15.75" customHeight="1">
      <c r="E184" s="45"/>
      <c r="G184" s="46"/>
      <c r="H184" s="46"/>
      <c r="I184" s="46"/>
      <c r="J184" s="46"/>
      <c r="K184" s="46"/>
      <c r="L184" s="46"/>
      <c r="M184" s="46"/>
      <c r="N184" s="46"/>
      <c r="O184" s="46"/>
    </row>
    <row r="185" ht="15.75" customHeight="1">
      <c r="E185" s="45"/>
      <c r="G185" s="46"/>
      <c r="H185" s="46"/>
      <c r="I185" s="46"/>
      <c r="J185" s="46"/>
      <c r="K185" s="46"/>
      <c r="L185" s="46"/>
      <c r="M185" s="46"/>
      <c r="N185" s="46"/>
      <c r="O185" s="46"/>
    </row>
    <row r="186" ht="15.75" customHeight="1">
      <c r="E186" s="45"/>
      <c r="G186" s="46"/>
      <c r="H186" s="46"/>
      <c r="I186" s="46"/>
      <c r="J186" s="46"/>
      <c r="K186" s="46"/>
      <c r="L186" s="46"/>
      <c r="M186" s="46"/>
      <c r="N186" s="46"/>
      <c r="O186" s="46"/>
    </row>
    <row r="187" ht="15.75" customHeight="1">
      <c r="E187" s="45"/>
      <c r="G187" s="46"/>
      <c r="H187" s="46"/>
      <c r="I187" s="46"/>
      <c r="J187" s="46"/>
      <c r="K187" s="46"/>
      <c r="L187" s="46"/>
      <c r="M187" s="46"/>
      <c r="N187" s="46"/>
      <c r="O187" s="46"/>
    </row>
    <row r="188" ht="15.75" customHeight="1">
      <c r="E188" s="45"/>
      <c r="G188" s="46"/>
      <c r="H188" s="46"/>
      <c r="I188" s="46"/>
      <c r="J188" s="46"/>
      <c r="K188" s="46"/>
      <c r="L188" s="46"/>
      <c r="M188" s="46"/>
      <c r="N188" s="46"/>
      <c r="O188" s="46"/>
    </row>
    <row r="189" ht="15.75" customHeight="1">
      <c r="E189" s="45"/>
      <c r="G189" s="46"/>
      <c r="H189" s="46"/>
      <c r="I189" s="46"/>
      <c r="J189" s="46"/>
      <c r="K189" s="46"/>
      <c r="L189" s="46"/>
      <c r="M189" s="46"/>
      <c r="N189" s="46"/>
      <c r="O189" s="46"/>
    </row>
    <row r="190" ht="15.75" customHeight="1">
      <c r="E190" s="45"/>
      <c r="G190" s="46"/>
      <c r="H190" s="46"/>
      <c r="I190" s="46"/>
      <c r="J190" s="46"/>
      <c r="K190" s="46"/>
      <c r="L190" s="46"/>
      <c r="M190" s="46"/>
      <c r="N190" s="46"/>
      <c r="O190" s="46"/>
    </row>
    <row r="191" ht="15.75" customHeight="1">
      <c r="E191" s="45"/>
      <c r="G191" s="46"/>
      <c r="H191" s="46"/>
      <c r="I191" s="46"/>
      <c r="J191" s="46"/>
      <c r="K191" s="46"/>
      <c r="L191" s="46"/>
      <c r="M191" s="46"/>
      <c r="N191" s="46"/>
      <c r="O191" s="46"/>
    </row>
    <row r="192" ht="15.75" customHeight="1">
      <c r="E192" s="45"/>
      <c r="G192" s="46"/>
      <c r="H192" s="46"/>
      <c r="I192" s="46"/>
      <c r="J192" s="46"/>
      <c r="K192" s="46"/>
      <c r="L192" s="46"/>
      <c r="M192" s="46"/>
      <c r="N192" s="46"/>
      <c r="O192" s="46"/>
    </row>
    <row r="193" ht="15.75" customHeight="1">
      <c r="E193" s="45"/>
      <c r="G193" s="46"/>
      <c r="H193" s="46"/>
      <c r="I193" s="46"/>
      <c r="J193" s="46"/>
      <c r="K193" s="46"/>
      <c r="L193" s="46"/>
      <c r="M193" s="46"/>
      <c r="N193" s="46"/>
      <c r="O193" s="46"/>
    </row>
    <row r="194" ht="15.75" customHeight="1">
      <c r="E194" s="45"/>
      <c r="G194" s="46"/>
      <c r="H194" s="46"/>
      <c r="I194" s="46"/>
      <c r="J194" s="46"/>
      <c r="K194" s="46"/>
      <c r="L194" s="46"/>
      <c r="M194" s="46"/>
      <c r="N194" s="46"/>
      <c r="O194" s="46"/>
    </row>
    <row r="195" ht="15.75" customHeight="1">
      <c r="E195" s="45"/>
      <c r="G195" s="46"/>
      <c r="H195" s="46"/>
      <c r="I195" s="46"/>
      <c r="J195" s="46"/>
      <c r="K195" s="46"/>
      <c r="L195" s="46"/>
      <c r="M195" s="46"/>
      <c r="N195" s="46"/>
      <c r="O195" s="46"/>
    </row>
    <row r="196" ht="15.75" customHeight="1">
      <c r="E196" s="45"/>
      <c r="G196" s="46"/>
      <c r="H196" s="46"/>
      <c r="I196" s="46"/>
      <c r="J196" s="46"/>
      <c r="K196" s="46"/>
      <c r="L196" s="46"/>
      <c r="M196" s="46"/>
      <c r="N196" s="46"/>
      <c r="O196" s="46"/>
    </row>
    <row r="197" ht="15.75" customHeight="1">
      <c r="E197" s="45"/>
      <c r="G197" s="46"/>
      <c r="H197" s="46"/>
      <c r="I197" s="46"/>
      <c r="J197" s="46"/>
      <c r="K197" s="46"/>
      <c r="L197" s="46"/>
      <c r="M197" s="46"/>
      <c r="N197" s="46"/>
      <c r="O197" s="46"/>
    </row>
    <row r="198" ht="15.75" customHeight="1">
      <c r="E198" s="45"/>
      <c r="G198" s="46"/>
      <c r="H198" s="46"/>
      <c r="I198" s="46"/>
      <c r="J198" s="46"/>
      <c r="K198" s="46"/>
      <c r="L198" s="46"/>
      <c r="M198" s="46"/>
      <c r="N198" s="46"/>
      <c r="O198" s="46"/>
    </row>
    <row r="199" ht="15.75" customHeight="1">
      <c r="E199" s="45"/>
      <c r="G199" s="46"/>
      <c r="H199" s="46"/>
      <c r="I199" s="46"/>
      <c r="J199" s="46"/>
      <c r="K199" s="46"/>
      <c r="L199" s="46"/>
      <c r="M199" s="46"/>
      <c r="N199" s="46"/>
      <c r="O199" s="46"/>
    </row>
    <row r="200" ht="15.75" customHeight="1">
      <c r="E200" s="45"/>
      <c r="G200" s="46"/>
      <c r="H200" s="46"/>
      <c r="I200" s="46"/>
      <c r="J200" s="46"/>
      <c r="K200" s="46"/>
      <c r="L200" s="46"/>
      <c r="M200" s="46"/>
      <c r="N200" s="46"/>
      <c r="O200" s="46"/>
    </row>
    <row r="201" ht="15.75" customHeight="1">
      <c r="E201" s="45"/>
      <c r="G201" s="46"/>
      <c r="H201" s="46"/>
      <c r="I201" s="46"/>
      <c r="J201" s="46"/>
      <c r="K201" s="46"/>
      <c r="L201" s="46"/>
      <c r="M201" s="46"/>
      <c r="N201" s="46"/>
      <c r="O201" s="46"/>
    </row>
    <row r="202" ht="15.75" customHeight="1">
      <c r="E202" s="45"/>
      <c r="G202" s="46"/>
      <c r="H202" s="46"/>
      <c r="I202" s="46"/>
      <c r="J202" s="46"/>
      <c r="K202" s="46"/>
      <c r="L202" s="46"/>
      <c r="M202" s="46"/>
      <c r="N202" s="46"/>
      <c r="O202" s="46"/>
    </row>
    <row r="203" ht="15.75" customHeight="1">
      <c r="E203" s="45"/>
      <c r="G203" s="46"/>
      <c r="H203" s="46"/>
      <c r="I203" s="46"/>
      <c r="J203" s="46"/>
      <c r="K203" s="46"/>
      <c r="L203" s="46"/>
      <c r="M203" s="46"/>
      <c r="N203" s="46"/>
      <c r="O203" s="46"/>
    </row>
    <row r="204" ht="15.75" customHeight="1">
      <c r="E204" s="45"/>
      <c r="G204" s="46"/>
      <c r="H204" s="46"/>
      <c r="I204" s="46"/>
      <c r="J204" s="46"/>
      <c r="K204" s="46"/>
      <c r="L204" s="46"/>
      <c r="M204" s="46"/>
      <c r="N204" s="46"/>
      <c r="O204" s="46"/>
    </row>
    <row r="205" ht="15.75" customHeight="1">
      <c r="E205" s="45"/>
      <c r="G205" s="46"/>
      <c r="H205" s="46"/>
      <c r="I205" s="46"/>
      <c r="J205" s="46"/>
      <c r="K205" s="46"/>
      <c r="L205" s="46"/>
      <c r="M205" s="46"/>
      <c r="N205" s="46"/>
      <c r="O205" s="46"/>
    </row>
    <row r="206" ht="15.75" customHeight="1">
      <c r="E206" s="45"/>
      <c r="G206" s="46"/>
      <c r="H206" s="46"/>
      <c r="I206" s="46"/>
      <c r="J206" s="46"/>
      <c r="K206" s="46"/>
      <c r="L206" s="46"/>
      <c r="M206" s="46"/>
      <c r="N206" s="46"/>
      <c r="O206" s="46"/>
    </row>
    <row r="207" ht="15.75" customHeight="1">
      <c r="E207" s="45"/>
      <c r="G207" s="46"/>
      <c r="H207" s="46"/>
      <c r="I207" s="46"/>
      <c r="J207" s="46"/>
      <c r="K207" s="46"/>
      <c r="L207" s="46"/>
      <c r="M207" s="46"/>
      <c r="N207" s="46"/>
      <c r="O207" s="46"/>
    </row>
    <row r="208" ht="15.75" customHeight="1">
      <c r="E208" s="45"/>
      <c r="G208" s="46"/>
      <c r="H208" s="46"/>
      <c r="I208" s="46"/>
      <c r="J208" s="46"/>
      <c r="K208" s="46"/>
      <c r="L208" s="46"/>
      <c r="M208" s="46"/>
      <c r="N208" s="46"/>
      <c r="O208" s="46"/>
    </row>
    <row r="209" ht="15.75" customHeight="1">
      <c r="E209" s="45"/>
      <c r="G209" s="46"/>
      <c r="H209" s="46"/>
      <c r="I209" s="46"/>
      <c r="J209" s="46"/>
      <c r="K209" s="46"/>
      <c r="L209" s="46"/>
      <c r="M209" s="46"/>
      <c r="N209" s="46"/>
      <c r="O209" s="46"/>
    </row>
    <row r="210" ht="15.75" customHeight="1">
      <c r="E210" s="45"/>
      <c r="G210" s="46"/>
      <c r="H210" s="46"/>
      <c r="I210" s="46"/>
      <c r="J210" s="46"/>
      <c r="K210" s="46"/>
      <c r="L210" s="46"/>
      <c r="M210" s="46"/>
      <c r="N210" s="46"/>
      <c r="O210" s="46"/>
    </row>
    <row r="211" ht="15.75" customHeight="1">
      <c r="E211" s="45"/>
      <c r="G211" s="46"/>
      <c r="H211" s="46"/>
      <c r="I211" s="46"/>
      <c r="J211" s="46"/>
      <c r="K211" s="46"/>
      <c r="L211" s="46"/>
      <c r="M211" s="46"/>
      <c r="N211" s="46"/>
      <c r="O211" s="46"/>
    </row>
    <row r="212" ht="15.75" customHeight="1">
      <c r="E212" s="45"/>
      <c r="G212" s="46"/>
      <c r="H212" s="46"/>
      <c r="I212" s="46"/>
      <c r="J212" s="46"/>
      <c r="K212" s="46"/>
      <c r="L212" s="46"/>
      <c r="M212" s="46"/>
      <c r="N212" s="46"/>
      <c r="O212" s="46"/>
    </row>
    <row r="213" ht="15.75" customHeight="1">
      <c r="E213" s="45"/>
      <c r="G213" s="46"/>
      <c r="H213" s="46"/>
      <c r="I213" s="46"/>
      <c r="J213" s="46"/>
      <c r="K213" s="46"/>
      <c r="L213" s="46"/>
      <c r="M213" s="46"/>
      <c r="N213" s="46"/>
      <c r="O213" s="46"/>
    </row>
    <row r="214" ht="15.75" customHeight="1">
      <c r="E214" s="45"/>
      <c r="G214" s="46"/>
      <c r="H214" s="46"/>
      <c r="I214" s="46"/>
      <c r="J214" s="46"/>
      <c r="K214" s="46"/>
      <c r="L214" s="46"/>
      <c r="M214" s="46"/>
      <c r="N214" s="46"/>
      <c r="O214" s="46"/>
    </row>
    <row r="215" ht="15.75" customHeight="1">
      <c r="E215" s="45"/>
      <c r="G215" s="46"/>
      <c r="H215" s="46"/>
      <c r="I215" s="46"/>
      <c r="J215" s="46"/>
      <c r="K215" s="46"/>
      <c r="L215" s="46"/>
      <c r="M215" s="46"/>
      <c r="N215" s="46"/>
      <c r="O215" s="46"/>
    </row>
    <row r="216" ht="15.75" customHeight="1">
      <c r="E216" s="45"/>
      <c r="G216" s="46"/>
      <c r="H216" s="46"/>
      <c r="I216" s="46"/>
      <c r="J216" s="46"/>
      <c r="K216" s="46"/>
      <c r="L216" s="46"/>
      <c r="M216" s="46"/>
      <c r="N216" s="46"/>
      <c r="O216" s="46"/>
    </row>
    <row r="217" ht="15.75" customHeight="1">
      <c r="E217" s="45"/>
      <c r="G217" s="46"/>
      <c r="H217" s="46"/>
      <c r="I217" s="46"/>
      <c r="J217" s="46"/>
      <c r="K217" s="46"/>
      <c r="L217" s="46"/>
      <c r="M217" s="46"/>
      <c r="N217" s="46"/>
      <c r="O217" s="46"/>
    </row>
    <row r="218" ht="15.75" customHeight="1">
      <c r="E218" s="45"/>
      <c r="G218" s="46"/>
      <c r="H218" s="46"/>
      <c r="I218" s="46"/>
      <c r="J218" s="46"/>
      <c r="K218" s="46"/>
      <c r="L218" s="46"/>
      <c r="M218" s="46"/>
      <c r="N218" s="46"/>
      <c r="O218" s="46"/>
    </row>
    <row r="219" ht="15.75" customHeight="1">
      <c r="E219" s="45"/>
      <c r="G219" s="46"/>
      <c r="H219" s="46"/>
      <c r="I219" s="46"/>
      <c r="J219" s="46"/>
      <c r="K219" s="46"/>
      <c r="L219" s="46"/>
      <c r="M219" s="46"/>
      <c r="N219" s="46"/>
      <c r="O219" s="46"/>
    </row>
    <row r="220" ht="15.75" customHeight="1">
      <c r="E220" s="45"/>
      <c r="G220" s="46"/>
      <c r="H220" s="46"/>
      <c r="I220" s="46"/>
      <c r="J220" s="46"/>
      <c r="K220" s="46"/>
      <c r="L220" s="46"/>
      <c r="M220" s="46"/>
      <c r="N220" s="46"/>
      <c r="O220" s="4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G4"/>
    <mergeCell ref="H2:K2"/>
    <mergeCell ref="H3:I3"/>
    <mergeCell ref="J3:K3"/>
    <mergeCell ref="L2:N3"/>
    <mergeCell ref="O2:O4"/>
    <mergeCell ref="B1:O1"/>
    <mergeCell ref="A2:A4"/>
    <mergeCell ref="B2:B4"/>
    <mergeCell ref="C2:C4"/>
    <mergeCell ref="D2:D4"/>
    <mergeCell ref="E2:E4"/>
    <mergeCell ref="F2:F4"/>
  </mergeCells>
  <conditionalFormatting sqref="G2:G1000">
    <cfRule type="containsText" dxfId="0" priority="1" operator="containsText" text="High">
      <formula>NOT(ISERROR(SEARCH(("High"),(G2))))</formula>
    </cfRule>
  </conditionalFormatting>
  <conditionalFormatting sqref="G2:G1000">
    <cfRule type="containsText" dxfId="0" priority="2" operator="containsText" text="Medium">
      <formula>NOT(ISERROR(SEARCH(("Medium"),(G2))))</formula>
    </cfRule>
  </conditionalFormatting>
  <conditionalFormatting sqref="G2:G1000">
    <cfRule type="containsText" dxfId="0" priority="3" operator="containsText" text="Low">
      <formula>NOT(ISERROR(SEARCH(("Low"),(G2))))</formula>
    </cfRule>
  </conditionalFormatting>
  <conditionalFormatting sqref="I5:J1000 K4:K1000 L5:O11">
    <cfRule type="containsText" dxfId="0" priority="4" operator="containsText" text="OK">
      <formula>NOT(ISERROR(SEARCH(("OK"),(I5))))</formula>
    </cfRule>
  </conditionalFormatting>
  <conditionalFormatting sqref="I5:J1000 K4:K1000 L5:O11">
    <cfRule type="containsText" dxfId="1" priority="5" operator="containsText" text="NA">
      <formula>NOT(ISERROR(SEARCH(("NA"),(I5))))</formula>
    </cfRule>
  </conditionalFormatting>
  <dataValidations>
    <dataValidation type="list" allowBlank="1" sqref="J5:J10 H5:H11">
      <formula1>"x,●"</formula1>
    </dataValidation>
    <dataValidation type="list" allowBlank="1" sqref="K5:N6 K7:O7 I5:I10 K8:N10 I11:O11">
      <formula1>"OK,NG,NA"</formula1>
    </dataValidation>
    <dataValidation type="list" allowBlank="1" showErrorMessage="1" sqref="G5:G11">
      <formula1>"High,Medium,Low"</formula1>
    </dataValidation>
  </dataValidations>
  <drawing r:id="rId1"/>
</worksheet>
</file>