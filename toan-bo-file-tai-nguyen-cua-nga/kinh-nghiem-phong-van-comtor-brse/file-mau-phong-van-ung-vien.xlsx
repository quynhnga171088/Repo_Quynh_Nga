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19"/>
  <workbookPr/>
  <mc:AlternateContent xmlns:mc="http://schemas.openxmlformats.org/markup-compatibility/2006">
    <mc:Choice Requires="x15">
      <x15ac:absPath xmlns:x15ac="http://schemas.microsoft.com/office/spreadsheetml/2010/11/ac" url="C:\Users\tranglt1\Desktop\"/>
    </mc:Choice>
  </mc:AlternateContent>
  <xr:revisionPtr revIDLastSave="0" documentId="8_{74A878E7-5334-48DA-A9CA-F6B2DFE7A2FA}" xr6:coauthVersionLast="47" xr6:coauthVersionMax="47" xr10:uidLastSave="{00000000-0000-0000-0000-000000000000}"/>
  <bookViews>
    <workbookView xWindow="-120" yWindow="-120" windowWidth="29040" windowHeight="15840" firstSheet="1" activeTab="2" xr2:uid="{00000000-000D-0000-FFFF-FFFF00000000}"/>
  </bookViews>
  <sheets>
    <sheet name="Hướng dẫn" sheetId="1" r:id="rId1"/>
    <sheet name="Câu hỏi phỏng vấn" sheetId="2" r:id="rId2"/>
    <sheet name="Tham chiếu" sheetId="3" r:id="rId3"/>
  </sheets>
  <definedNames>
    <definedName name="_xlnm._FilterDatabase" localSheetId="2" hidden="1">'Tham chiếu'!$N$1:$N$21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16" i="3" l="1"/>
  <c r="W16" i="3"/>
  <c r="U16" i="3"/>
  <c r="S16" i="3"/>
  <c r="Q16" i="3"/>
  <c r="L6" i="3"/>
  <c r="M6" i="3"/>
  <c r="G6" i="3" s="1"/>
  <c r="E3" i="3"/>
  <c r="E14" i="3"/>
  <c r="E13" i="3"/>
  <c r="E12" i="3"/>
  <c r="E9" i="3"/>
  <c r="E11" i="3"/>
  <c r="E8" i="3"/>
  <c r="E10" i="3"/>
  <c r="E7" i="3"/>
  <c r="E5" i="3"/>
  <c r="E6" i="3"/>
  <c r="E4" i="3"/>
  <c r="L4" i="3"/>
  <c r="L5" i="3"/>
  <c r="L7" i="3"/>
  <c r="L8" i="3"/>
  <c r="L9" i="3"/>
  <c r="L10" i="3"/>
  <c r="L11" i="3"/>
  <c r="L12" i="3"/>
  <c r="L13" i="3"/>
  <c r="L14" i="3"/>
  <c r="L15" i="3"/>
  <c r="L3" i="3"/>
  <c r="M4" i="3"/>
  <c r="G4" i="3" s="1"/>
  <c r="M5" i="3"/>
  <c r="G5" i="3" s="1"/>
  <c r="M7" i="3"/>
  <c r="G7" i="3" s="1"/>
  <c r="M8" i="3"/>
  <c r="G8" i="3" s="1"/>
  <c r="M9" i="3"/>
  <c r="G9" i="3" s="1"/>
  <c r="M10" i="3"/>
  <c r="G10" i="3" s="1"/>
  <c r="M11" i="3"/>
  <c r="G11" i="3" s="1"/>
  <c r="M12" i="3"/>
  <c r="G12" i="3" s="1"/>
  <c r="M13" i="3"/>
  <c r="G13" i="3" s="1"/>
  <c r="M14" i="3"/>
  <c r="G14" i="3" s="1"/>
  <c r="M15" i="3"/>
  <c r="G15" i="3" s="1"/>
  <c r="M3" i="3"/>
  <c r="G3" i="3" s="1"/>
  <c r="L17" i="3"/>
  <c r="F16" i="3"/>
  <c r="Z3" i="3" l="1"/>
  <c r="X3" i="3"/>
  <c r="V3" i="3"/>
  <c r="T3" i="3"/>
  <c r="Z15" i="3"/>
  <c r="X15" i="3"/>
  <c r="V15" i="3"/>
  <c r="Z14" i="3"/>
  <c r="X14" i="3"/>
  <c r="V14" i="3"/>
  <c r="Z13" i="3"/>
  <c r="X13" i="3"/>
  <c r="V13" i="3"/>
  <c r="Z12" i="3"/>
  <c r="X12" i="3"/>
  <c r="V12" i="3"/>
  <c r="Z11" i="3"/>
  <c r="X11" i="3"/>
  <c r="V11" i="3"/>
  <c r="Z10" i="3"/>
  <c r="X10" i="3"/>
  <c r="V10" i="3"/>
  <c r="Z9" i="3"/>
  <c r="X9" i="3"/>
  <c r="V9" i="3"/>
  <c r="Z8" i="3"/>
  <c r="X8" i="3"/>
  <c r="V8" i="3"/>
  <c r="Z7" i="3"/>
  <c r="X7" i="3"/>
  <c r="V7" i="3"/>
  <c r="Z5" i="3"/>
  <c r="X5" i="3"/>
  <c r="V5" i="3"/>
  <c r="Z4" i="3"/>
  <c r="X4" i="3"/>
  <c r="V4" i="3"/>
  <c r="Z6" i="3"/>
  <c r="X6" i="3"/>
  <c r="V6" i="3"/>
  <c r="R3" i="3"/>
  <c r="P3" i="3"/>
  <c r="T15" i="3"/>
  <c r="R15" i="3"/>
  <c r="T14" i="3"/>
  <c r="R14" i="3"/>
  <c r="T13" i="3"/>
  <c r="R13" i="3"/>
  <c r="T12" i="3"/>
  <c r="R12" i="3"/>
  <c r="T11" i="3"/>
  <c r="R11" i="3"/>
  <c r="P11" i="3"/>
  <c r="T10" i="3"/>
  <c r="R10" i="3"/>
  <c r="T9" i="3"/>
  <c r="R9" i="3"/>
  <c r="T8" i="3"/>
  <c r="R8" i="3"/>
  <c r="T7" i="3"/>
  <c r="R7" i="3"/>
  <c r="T5" i="3"/>
  <c r="R5" i="3"/>
  <c r="T4" i="3"/>
  <c r="R4" i="3"/>
  <c r="O3" i="3"/>
  <c r="H3" i="3" s="1"/>
  <c r="P4" i="3"/>
  <c r="P5" i="3"/>
  <c r="P7" i="3"/>
  <c r="P10" i="3"/>
  <c r="P8" i="3"/>
  <c r="P9" i="3"/>
  <c r="P12" i="3"/>
  <c r="P13" i="3"/>
  <c r="P14" i="3"/>
  <c r="T6" i="3"/>
  <c r="T16" i="3" s="1"/>
  <c r="S21" i="3" s="1"/>
  <c r="R6" i="3"/>
  <c r="O6" i="3"/>
  <c r="O15" i="3"/>
  <c r="H15" i="3" s="1"/>
  <c r="I15" i="3" s="1"/>
  <c r="J15" i="3" s="1"/>
  <c r="K15" i="3" s="1"/>
  <c r="O14" i="3"/>
  <c r="H14" i="3" s="1"/>
  <c r="I14" i="3" s="1"/>
  <c r="O13" i="3"/>
  <c r="H13" i="3" s="1"/>
  <c r="I13" i="3" s="1"/>
  <c r="J13" i="3" s="1"/>
  <c r="K13" i="3" s="1"/>
  <c r="O12" i="3"/>
  <c r="H12" i="3" s="1"/>
  <c r="I12" i="3" s="1"/>
  <c r="J12" i="3" s="1"/>
  <c r="O11" i="3"/>
  <c r="H11" i="3" s="1"/>
  <c r="I11" i="3" s="1"/>
  <c r="J11" i="3" s="1"/>
  <c r="K11" i="3" s="1"/>
  <c r="O10" i="3"/>
  <c r="H10" i="3" s="1"/>
  <c r="I10" i="3" s="1"/>
  <c r="J10" i="3" s="1"/>
  <c r="K10" i="3" s="1"/>
  <c r="O9" i="3"/>
  <c r="H9" i="3" s="1"/>
  <c r="I9" i="3" s="1"/>
  <c r="J9" i="3" s="1"/>
  <c r="K9" i="3" s="1"/>
  <c r="O8" i="3"/>
  <c r="H8" i="3" s="1"/>
  <c r="I8" i="3" s="1"/>
  <c r="J8" i="3" s="1"/>
  <c r="K8" i="3" s="1"/>
  <c r="O7" i="3"/>
  <c r="H7" i="3" s="1"/>
  <c r="I7" i="3" s="1"/>
  <c r="J7" i="3" s="1"/>
  <c r="K7" i="3" s="1"/>
  <c r="O5" i="3"/>
  <c r="H5" i="3" s="1"/>
  <c r="I5" i="3" s="1"/>
  <c r="J5" i="3" s="1"/>
  <c r="K5" i="3" s="1"/>
  <c r="O4" i="3"/>
  <c r="H4" i="3" s="1"/>
  <c r="I4" i="3" s="1"/>
  <c r="E15" i="3"/>
  <c r="P15" i="3" s="1"/>
  <c r="R16" i="3" l="1"/>
  <c r="V16" i="3"/>
  <c r="X16" i="3"/>
  <c r="Z16" i="3"/>
  <c r="S20" i="3"/>
  <c r="T17" i="3"/>
  <c r="H6" i="3"/>
  <c r="I6" i="3" s="1"/>
  <c r="J6" i="3" s="1"/>
  <c r="K6" i="3" s="1"/>
  <c r="P6" i="3"/>
  <c r="P16" i="3" s="1"/>
  <c r="I3" i="3"/>
  <c r="J3" i="3" s="1"/>
  <c r="K3" i="3" s="1"/>
  <c r="S24" i="3" l="1"/>
  <c r="Z17" i="3"/>
  <c r="S23" i="3"/>
  <c r="X17" i="3"/>
  <c r="S22" i="3"/>
  <c r="U22" i="3" s="1"/>
  <c r="V17" i="3"/>
  <c r="U23" i="3" l="1"/>
  <c r="U24" i="3"/>
</calcChain>
</file>

<file path=xl/sharedStrings.xml><?xml version="1.0" encoding="utf-8"?>
<sst xmlns="http://schemas.openxmlformats.org/spreadsheetml/2006/main" count="102" uniqueCount="93">
  <si>
    <t xml:space="preserve">ĐÁNH GIÁ ỨNG VIÊN </t>
  </si>
  <si>
    <t xml:space="preserve">I. THÔNG TIN CHUNG </t>
  </si>
  <si>
    <t xml:space="preserve">1. Họ và tên </t>
  </si>
  <si>
    <t xml:space="preserve">2. Vị trí dự tuyển </t>
  </si>
  <si>
    <t xml:space="preserve">3. Mã đợt tuyển dụng </t>
  </si>
  <si>
    <t>4. Người phỏng vấn</t>
  </si>
  <si>
    <t xml:space="preserve">II. ĐÁNH GIÁ ỨNG VIÊN </t>
  </si>
  <si>
    <t xml:space="preserve">Điểm </t>
  </si>
  <si>
    <t xml:space="preserve">Nội dung trả lời </t>
  </si>
  <si>
    <t xml:space="preserve">1.  Câu hỏi chung  </t>
  </si>
  <si>
    <t xml:space="preserve">1.1. Giới thiệu bản thân </t>
  </si>
  <si>
    <r>
      <t xml:space="preserve">1.2. Học trường nào? Đã tốt nghiệp chưa? (Thang điểm từ 1-3)
</t>
    </r>
    <r>
      <rPr>
        <i/>
        <sz val="11"/>
        <color theme="1"/>
        <rFont val="Times New Roman"/>
        <family val="1"/>
      </rPr>
      <t xml:space="preserve">1đ- Học cao đẳng/ nghề, trung tâm đào tạo ngắn hạn
2đ- Đã tốt nghiệp đại học chuyên ngành không liên quan đến công nghệ thông tin
3đ- Đã tốt nghiệp đại học trở lên chuyên ngành công nghệ thông tin </t>
    </r>
  </si>
  <si>
    <t xml:space="preserve">1.3. Điểm mạnh, điểm yếu của bản thân </t>
  </si>
  <si>
    <t xml:space="preserve">1.4. Lý do nghỉ việc </t>
  </si>
  <si>
    <t>Quy trình làm việc hiện tại</t>
  </si>
  <si>
    <t xml:space="preserve">2. Câu hỏi chuyên môn </t>
  </si>
  <si>
    <t xml:space="preserve">2.1 Đánh giá kinh nghiệm làm việc: </t>
  </si>
  <si>
    <r>
      <rPr>
        <b/>
        <i/>
        <sz val="12"/>
        <color rgb="FF000000"/>
        <rFont val="Times New Roman"/>
      </rPr>
      <t xml:space="preserve">Số năm kinh nghiệm làm việc thực tế ở vị trí tương đương
</t>
    </r>
    <r>
      <rPr>
        <sz val="11"/>
        <color rgb="FF000000"/>
        <rFont val="Times New Roman"/>
      </rPr>
      <t>(1đ: &gt;=2 tháng, 2đ: &gt;=12 tháng, 3đ: &gt;=24 tháng, 4đ: &gt;=36 tháng, 5đ: &gt;=60 tháng</t>
    </r>
  </si>
  <si>
    <t>Đánh giá kỹ năng 
Thang điểm từ 1 - 5</t>
  </si>
  <si>
    <t xml:space="preserve">Đã gặp các tình huống phải giao tiếp với khách hàng qua email hoặc gọi điện chưa? Nếu có thì xử lý như thế nào để đảm bảo thông tin được truyền đạt chính xác
</t>
  </si>
  <si>
    <t>Trong trường hợp cần giải quyết sự cố trực tiếp với khách hàng Nhật, bạn sẽ giao tiếp như thế nào để truyền tải thông tin về các vấn đề đang xử lý?</t>
  </si>
  <si>
    <t>Nếu bạn phải trả lời email từ khách hàng Nhật Bản về sự cố hệ thống, bạn sẽ viết như thế nào để đảm bảo sự chuyên nghiệp và rõ ràng?</t>
  </si>
  <si>
    <t>Trong công việc giám sát hệ thống, bạn đã từng gặp phải sự cố nào mà không thể giải quyết ngay lập tức? 
Nếu có thì, bạn đã làm gì  trong khi chờ giải pháp từ bộ phận kỹ thuật?</t>
  </si>
  <si>
    <t>Khi nhận được dữ liệu không đầy đủ hoặc có vấn đề, bạn sẽ xử lý như thế nào để đảm bảo kết quả phân tích vẫn chính xác?</t>
  </si>
  <si>
    <t>Bạn đã bao giờ phải giải thích một vấn đề kỹ thuật cho đồng nghiệp Nhật Bản mà không thể sử dụng tiếng Việt hoặc tiếng Anh? Bạn đã làm thế nào để đảm bảo họ hiểu rõ vấn đề và giải pháp?</t>
  </si>
  <si>
    <t>Khi bạn phải xử lý nhiều sự cố hoặc công việc giám sát nhiều hệ thống cùng một lúc, bạn làm thế nào để quản lý thời gian và đảm bảo công việc được hoàn thành đúng hạn?</t>
  </si>
  <si>
    <t>Bạn có gặp khó khăn gì khi làm việc với người Nhật không? Nếu có, bạn đã vượt qua như thế nào và học được điều gì từ đó?</t>
  </si>
  <si>
    <t>Bạn đã bao giờ phải làm việc với một nhóm để giải quyết một sự cố hệ thống chưa? Bạn đã đóng vai trò gì trong nhóm đó và làm thế nào để đảm bảo công việc diễn ra hiệu quả?</t>
  </si>
  <si>
    <t xml:space="preserve">Đánh giá kỹ năng quản lý 
Thang điểm từ 1 - 5  </t>
  </si>
  <si>
    <t>1. Đã từng là team lead hay chưa ?
(1đ- Chưa quản lý, 2đ- Đã từng quản lý 1 Nhân viênc, 3đ- quản lý 2 member trở lên , 4đ- Dưới 7 nhân viên, 5đ- Trên 10 nhân viên)</t>
  </si>
  <si>
    <t>Khi quản lý một đội nhóm giám sát hệ thống, bạn làm thế nào để phân công công việc và đảm bảo tất cả các nhiệm vụ được thực hiện đúng hạn?</t>
  </si>
  <si>
    <t>Làm thế nào bạn duy trì động lực cho đội ngũ giám sát hệ thống trong những thời điểm căng thẳng hoặc khi hệ thống gặp sự cố liên tục?</t>
  </si>
  <si>
    <t>2.2 Đánh giá kiến thức, chứng chỉ 
 (người phỏng vấn cho điểm thang từ 1-5 tùy năng lực ứng viên)</t>
  </si>
  <si>
    <t xml:space="preserve">2.Khả năng ngoại ngữ 
(1đ- ko có, 2đ-N5-500 Toiec, 3đ-N4-550 Toiec, 4đ-N3- 650 Toiec, 5đ-N2 trở lên- 700 Toeic) </t>
  </si>
  <si>
    <r>
      <t>2.3. Đánh giá thái độ</t>
    </r>
    <r>
      <rPr>
        <sz val="12"/>
        <color rgb="FF000000"/>
        <rFont val="Times New Roman"/>
        <family val="1"/>
      </rPr>
      <t xml:space="preserve"> </t>
    </r>
    <r>
      <rPr>
        <i/>
        <sz val="12"/>
        <color rgb="FF000000"/>
        <rFont val="Times New Roman"/>
        <family val="1"/>
      </rPr>
      <t>(người phỏng vấn cho điểm thang từ 1-5 tùy năng lực ứng viên)</t>
    </r>
  </si>
  <si>
    <t>1.Mong muốn, định hướng, cầu tiến trong công việc</t>
  </si>
  <si>
    <t>2.Có sẵn sàng OT khi cần : (3đ: luôn luôn sẵn sàng, 2đ: tùy vào thời gian sắp xếp, 1đ: không Sẵn sàng OT)</t>
  </si>
  <si>
    <t xml:space="preserve">4.Bao giờ có thể đi làm được </t>
  </si>
  <si>
    <t xml:space="preserve">3. Mức thu nhập </t>
  </si>
  <si>
    <t xml:space="preserve">Mức lương hiện tại </t>
  </si>
  <si>
    <t xml:space="preserve">Mức lương mong muốn </t>
  </si>
  <si>
    <r>
      <t xml:space="preserve">4. Đánh giá chung của người phỏng vấn </t>
    </r>
    <r>
      <rPr>
        <i/>
        <sz val="11"/>
        <color rgb="FF000000"/>
        <rFont val="Times New Roman"/>
        <family val="1"/>
      </rPr>
      <t xml:space="preserve">( người phỏng vấn cho điểm thang từ 1-5) </t>
    </r>
  </si>
  <si>
    <t xml:space="preserve">Câu hỏi thêm của người phỏng vấn </t>
  </si>
  <si>
    <t xml:space="preserve">TỔNG ĐIỂM </t>
  </si>
  <si>
    <t xml:space="preserve">RANK TƯƠNG ĐƯƠNG </t>
  </si>
  <si>
    <t xml:space="preserve">7. Đề nghị của người phỏng vấn </t>
  </si>
  <si>
    <t>Mức lương đề xuất của người phỏng vấn</t>
  </si>
  <si>
    <t xml:space="preserve">Bạn này tương đương rank với ai trong công ty </t>
  </si>
  <si>
    <t>CÁC YẾU TỐ CHÍNH</t>
  </si>
  <si>
    <t>TỶ TRỌNG YẾU TỐ CHÍNH</t>
  </si>
  <si>
    <t>CÁC YẾU TỐ PHỤ THÀNH PHẦN</t>
  </si>
  <si>
    <t>Điểm</t>
  </si>
  <si>
    <t>Trọng số yếu tố phụ</t>
  </si>
  <si>
    <t>Các loại cấp độ (n)</t>
  </si>
  <si>
    <t>Điểm tối đa của một yếu tố (Mi)</t>
  </si>
  <si>
    <t>Điểm tối thiểu của một yếu tố (mi)</t>
  </si>
  <si>
    <t>Số cấp độ (n)</t>
  </si>
  <si>
    <t>Khoảng cách giữa các bậc trong yếu tố (i)</t>
  </si>
  <si>
    <t>Tổng điểm</t>
  </si>
  <si>
    <t>level 1</t>
  </si>
  <si>
    <t>level 2</t>
  </si>
  <si>
    <t>level 3</t>
  </si>
  <si>
    <t>level 4</t>
  </si>
  <si>
    <t>level 5</t>
  </si>
  <si>
    <t>(Ki)</t>
  </si>
  <si>
    <t>cấp độ</t>
  </si>
  <si>
    <t>Thái độ</t>
  </si>
  <si>
    <t>Mức độ mong muốn cầu tiến với công việc</t>
  </si>
  <si>
    <t xml:space="preserve">Có sẵn sàng OT khi cần </t>
  </si>
  <si>
    <t>Kỹ Năng</t>
  </si>
  <si>
    <t>Kinh  nghiệm làm việc với vị trí Tester</t>
  </si>
  <si>
    <t>Kỹ năng Test</t>
  </si>
  <si>
    <t xml:space="preserve">Kỹ năng testplan/test report </t>
  </si>
  <si>
    <t xml:space="preserve">Kỹ năng estimate </t>
  </si>
  <si>
    <t>Kỹ năng test API/SQL/Per</t>
  </si>
  <si>
    <t>Kiến thức</t>
  </si>
  <si>
    <t>Đánh giá khả năng  quản lý</t>
  </si>
  <si>
    <t>khả năng report, xử lý issue</t>
  </si>
  <si>
    <t>Chứng chỉ chuyên môn</t>
  </si>
  <si>
    <t>Ngoại ngữ</t>
  </si>
  <si>
    <t>Bằng cấp</t>
  </si>
  <si>
    <t>Other</t>
  </si>
  <si>
    <t>Điểm cộng</t>
  </si>
  <si>
    <t>1. Ghi chú:</t>
  </si>
  <si>
    <t xml:space="preserve">T: Tổng điểm số tối đa cho P1: </t>
  </si>
  <si>
    <t>t: Tổng điểm số tối thiểu cho P1:</t>
  </si>
  <si>
    <t>n: Số khoảng cách trong một yếu tố; Ki: Trọng số của từng yếu tố</t>
  </si>
  <si>
    <t>Level 1</t>
  </si>
  <si>
    <t>T: Số điểm tối đa cho tất cả các yếu tố (1000 điểm); t: Số điểm tối thiểu cho tất cả các yêu tố (100 điểm)</t>
  </si>
  <si>
    <t>Level 2</t>
  </si>
  <si>
    <t>Level 3</t>
  </si>
  <si>
    <t>Level 4</t>
  </si>
  <si>
    <t>Level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</si>
</sst>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b/>
      <sz val="20"/>
      <color theme="1"/>
      <name val="Times New Roman"/>
      <family val="1"/>
    </font>
    <font>
      <sz val="11"/>
      <color theme="1"/>
      <name val="Times New Roman"/>
      <family val="1"/>
    </font>
    <font>
      <b/>
      <sz val="12"/>
      <color theme="1"/>
      <name val="Times New Roman"/>
      <family val="1"/>
    </font>
    <font>
      <sz val="12"/>
      <color theme="1"/>
      <name val="Times New Roman"/>
      <family val="1"/>
    </font>
    <font>
      <b/>
      <sz val="12"/>
      <color rgb="FF000000"/>
      <name val="Times New Roman"/>
      <family val="1"/>
    </font>
    <font>
      <sz val="12"/>
      <color rgb="FF000000"/>
      <name val="Times New Roman"/>
      <family val="1"/>
    </font>
    <font>
      <i/>
      <sz val="11"/>
      <color theme="1"/>
      <name val="Times New Roman"/>
      <family val="1"/>
    </font>
    <font>
      <b/>
      <i/>
      <sz val="12"/>
      <color rgb="FF000000"/>
      <name val="Times New Roman"/>
      <family val="1"/>
    </font>
    <font>
      <i/>
      <sz val="11"/>
      <color rgb="FF000000"/>
      <name val="Times New Roman"/>
      <family val="1"/>
    </font>
    <font>
      <i/>
      <sz val="12"/>
      <color rgb="FF000000"/>
      <name val="Times New Roman"/>
      <family val="1"/>
    </font>
    <font>
      <b/>
      <sz val="9"/>
      <name val="Times New Roman"/>
    </font>
    <font>
      <sz val="11"/>
      <color theme="1"/>
      <name val="Times New Roman"/>
    </font>
    <font>
      <sz val="9"/>
      <name val="Times New Roman"/>
    </font>
    <font>
      <b/>
      <sz val="11"/>
      <color rgb="FF000000"/>
      <name val="Times New Roman"/>
    </font>
    <font>
      <sz val="11"/>
      <color rgb="FF000000"/>
      <name val="Times New Roman"/>
    </font>
    <font>
      <sz val="10"/>
      <name val="Times New Roman"/>
    </font>
    <font>
      <b/>
      <sz val="11"/>
      <name val="Times New Roman"/>
    </font>
    <font>
      <sz val="11"/>
      <name val="Times New Roman"/>
    </font>
    <font>
      <b/>
      <i/>
      <sz val="12"/>
      <color rgb="FF000000"/>
      <name val="Times New Roman"/>
    </font>
    <font>
      <b/>
      <sz val="12"/>
      <color rgb="FFFF0000"/>
      <name val="Times New Roman"/>
      <family val="1"/>
    </font>
  </fonts>
  <fills count="9">
    <fill>
      <patternFill patternType="none"/>
    </fill>
    <fill>
      <patternFill patternType="gray125"/>
    </fill>
    <fill>
      <patternFill patternType="solid">
        <fgColor rgb="FFC6E0B4"/>
        <bgColor indexed="64"/>
      </patternFill>
    </fill>
    <fill>
      <patternFill patternType="solid">
        <fgColor rgb="FFCCFFFF"/>
        <bgColor rgb="FF000000"/>
      </patternFill>
    </fill>
    <fill>
      <patternFill patternType="solid">
        <fgColor rgb="FFDCE6F1"/>
        <bgColor rgb="FF000000"/>
      </patternFill>
    </fill>
    <fill>
      <patternFill patternType="solid">
        <fgColor rgb="FFFFFF00"/>
        <bgColor rgb="FF000000"/>
      </patternFill>
    </fill>
    <fill>
      <patternFill patternType="solid">
        <fgColor rgb="FFFFFF00"/>
        <bgColor indexed="64"/>
      </patternFill>
    </fill>
    <fill>
      <patternFill patternType="solid">
        <fgColor rgb="FFFFFFFF"/>
        <bgColor indexed="64"/>
      </patternFill>
    </fill>
    <fill>
      <patternFill patternType="solid">
        <fgColor rgb="FFE2EFDA"/>
        <bgColor indexed="64"/>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top/>
      <bottom/>
      <diagonal/>
    </border>
    <border>
      <left style="thin">
        <color indexed="64"/>
      </left>
      <right/>
      <top style="thin">
        <color indexed="64"/>
      </top>
      <bottom/>
      <diagonal/>
    </border>
    <border>
      <left style="thin">
        <color indexed="64"/>
      </left>
      <right/>
      <top/>
      <bottom style="thin">
        <color indexed="64"/>
      </bottom>
      <diagonal/>
    </border>
  </borders>
  <cellStyleXfs count="1">
    <xf numFmtId="0" fontId="0" fillId="0" borderId="0"/>
  </cellStyleXfs>
  <cellXfs count="89">
    <xf numFmtId="0" fontId="0" fillId="0" borderId="0" xfId="0"/>
    <xf numFmtId="0" fontId="2" fillId="0" borderId="0" xfId="0" applyFont="1" applyAlignment="1">
      <alignment vertical="center"/>
    </xf>
    <xf numFmtId="0" fontId="2" fillId="0" borderId="1" xfId="0" applyFont="1" applyBorder="1" applyAlignment="1">
      <alignment vertical="center"/>
    </xf>
    <xf numFmtId="0" fontId="5" fillId="0" borderId="1" xfId="0" applyFont="1" applyBorder="1" applyAlignment="1">
      <alignment horizontal="left" vertical="center"/>
    </xf>
    <xf numFmtId="0" fontId="4" fillId="0" borderId="1" xfId="0" applyFont="1" applyBorder="1" applyAlignment="1">
      <alignment horizontal="left" vertical="center" wrapText="1"/>
    </xf>
    <xf numFmtId="0" fontId="6" fillId="0" borderId="1" xfId="0" applyFont="1" applyBorder="1" applyAlignment="1">
      <alignment horizontal="left" vertical="center" wrapText="1"/>
    </xf>
    <xf numFmtId="0" fontId="6" fillId="0" borderId="1" xfId="0" applyFont="1" applyBorder="1" applyAlignment="1">
      <alignment horizontal="left" vertical="center"/>
    </xf>
    <xf numFmtId="0" fontId="5" fillId="0" borderId="1" xfId="0" applyFont="1" applyBorder="1" applyAlignment="1">
      <alignment horizontal="left" vertical="center" wrapText="1"/>
    </xf>
    <xf numFmtId="0" fontId="8" fillId="0" borderId="1" xfId="0" applyFont="1" applyBorder="1" applyAlignment="1">
      <alignment horizontal="left" vertical="center" wrapText="1"/>
    </xf>
    <xf numFmtId="0" fontId="8" fillId="0" borderId="3" xfId="0" applyFont="1" applyBorder="1" applyAlignment="1">
      <alignment horizontal="left" vertical="center" wrapText="1"/>
    </xf>
    <xf numFmtId="0" fontId="2" fillId="0" borderId="2" xfId="0" applyFont="1" applyBorder="1" applyAlignment="1">
      <alignment vertical="center" wrapText="1"/>
    </xf>
    <xf numFmtId="0" fontId="8" fillId="0" borderId="4" xfId="0" applyFont="1" applyBorder="1" applyAlignment="1">
      <alignment horizontal="left" vertical="center" wrapText="1"/>
    </xf>
    <xf numFmtId="0" fontId="2" fillId="0" borderId="0" xfId="0" applyFont="1" applyAlignment="1">
      <alignment vertical="center" wrapText="1"/>
    </xf>
    <xf numFmtId="0" fontId="3" fillId="0" borderId="1" xfId="0" applyFont="1" applyBorder="1" applyAlignment="1">
      <alignment horizontal="left" vertical="center" wrapText="1"/>
    </xf>
    <xf numFmtId="0" fontId="2" fillId="0" borderId="1" xfId="0" applyFont="1" applyBorder="1" applyAlignment="1">
      <alignment vertical="center" wrapText="1"/>
    </xf>
    <xf numFmtId="0" fontId="2" fillId="0" borderId="3" xfId="0" applyFont="1" applyBorder="1" applyAlignment="1">
      <alignment vertical="center" wrapText="1"/>
    </xf>
    <xf numFmtId="0" fontId="4" fillId="2" borderId="1" xfId="0" applyFont="1" applyFill="1" applyBorder="1" applyAlignment="1">
      <alignment horizontal="left" vertical="center" wrapText="1"/>
    </xf>
    <xf numFmtId="9" fontId="2" fillId="0" borderId="0" xfId="0" applyNumberFormat="1" applyFont="1" applyAlignment="1">
      <alignment vertical="center" wrapText="1"/>
    </xf>
    <xf numFmtId="0" fontId="4" fillId="7" borderId="5" xfId="0" applyFont="1" applyFill="1" applyBorder="1" applyAlignment="1">
      <alignment horizontal="center" vertical="center" wrapText="1"/>
    </xf>
    <xf numFmtId="0" fontId="3" fillId="7" borderId="5" xfId="0" applyFont="1" applyFill="1" applyBorder="1" applyAlignment="1">
      <alignment horizontal="center" vertical="center" wrapText="1"/>
    </xf>
    <xf numFmtId="0" fontId="2" fillId="7" borderId="0" xfId="0" applyFont="1" applyFill="1" applyAlignment="1">
      <alignment horizontal="center" vertical="center" wrapText="1"/>
    </xf>
    <xf numFmtId="0" fontId="4" fillId="7" borderId="1" xfId="0" applyFont="1" applyFill="1" applyBorder="1" applyAlignment="1">
      <alignment horizontal="center" vertical="center" wrapText="1"/>
    </xf>
    <xf numFmtId="0" fontId="5" fillId="7" borderId="5" xfId="0" applyFont="1" applyFill="1" applyBorder="1" applyAlignment="1">
      <alignment horizontal="center" vertical="center" wrapText="1"/>
    </xf>
    <xf numFmtId="0" fontId="4" fillId="7" borderId="16" xfId="0" applyFont="1" applyFill="1" applyBorder="1" applyAlignment="1">
      <alignment horizontal="center" vertical="center" wrapText="1"/>
    </xf>
    <xf numFmtId="0" fontId="6" fillId="7" borderId="5" xfId="0" applyFont="1" applyFill="1" applyBorder="1" applyAlignment="1">
      <alignment horizontal="center" vertical="center" wrapText="1"/>
    </xf>
    <xf numFmtId="0" fontId="6" fillId="7" borderId="6" xfId="0" applyFont="1" applyFill="1" applyBorder="1" applyAlignment="1">
      <alignment horizontal="center" vertical="center" wrapText="1"/>
    </xf>
    <xf numFmtId="0" fontId="2" fillId="7" borderId="12" xfId="0" applyFont="1" applyFill="1" applyBorder="1" applyAlignment="1">
      <alignment horizontal="center" vertical="center" wrapText="1"/>
    </xf>
    <xf numFmtId="0" fontId="6" fillId="7" borderId="17" xfId="0" applyFont="1" applyFill="1" applyBorder="1" applyAlignment="1">
      <alignment horizontal="center" vertical="center" wrapText="1"/>
    </xf>
    <xf numFmtId="0" fontId="6" fillId="7" borderId="5" xfId="0" applyFont="1" applyFill="1" applyBorder="1" applyAlignment="1">
      <alignment horizontal="center" vertical="center"/>
    </xf>
    <xf numFmtId="0" fontId="4" fillId="7" borderId="5" xfId="0" applyFont="1" applyFill="1" applyBorder="1" applyAlignment="1">
      <alignment horizontal="center" vertical="center"/>
    </xf>
    <xf numFmtId="0" fontId="14" fillId="5" borderId="10" xfId="0" applyFont="1" applyFill="1" applyBorder="1" applyAlignment="1">
      <alignment horizontal="center" vertical="center"/>
    </xf>
    <xf numFmtId="0" fontId="15" fillId="7" borderId="2" xfId="0" applyFont="1" applyFill="1" applyBorder="1" applyAlignment="1">
      <alignment horizontal="left" vertical="center"/>
    </xf>
    <xf numFmtId="0" fontId="15" fillId="7" borderId="2" xfId="0" applyFont="1" applyFill="1" applyBorder="1" applyAlignment="1">
      <alignment horizontal="center" vertical="center"/>
    </xf>
    <xf numFmtId="9" fontId="15" fillId="7" borderId="2" xfId="0" applyNumberFormat="1" applyFont="1" applyFill="1" applyBorder="1" applyAlignment="1">
      <alignment vertical="center"/>
    </xf>
    <xf numFmtId="0" fontId="15" fillId="7" borderId="10" xfId="0" applyFont="1" applyFill="1" applyBorder="1" applyAlignment="1">
      <alignment horizontal="left" vertical="center"/>
    </xf>
    <xf numFmtId="0" fontId="15" fillId="7" borderId="10" xfId="0" applyFont="1" applyFill="1" applyBorder="1" applyAlignment="1">
      <alignment horizontal="center" vertical="center"/>
    </xf>
    <xf numFmtId="9" fontId="14" fillId="6" borderId="2" xfId="0" applyNumberFormat="1" applyFont="1" applyFill="1" applyBorder="1" applyAlignment="1">
      <alignment horizontal="center" vertical="center"/>
    </xf>
    <xf numFmtId="0" fontId="17" fillId="8" borderId="10" xfId="0" applyFont="1" applyFill="1" applyBorder="1" applyAlignment="1">
      <alignment horizontal="center" vertical="center" wrapText="1"/>
    </xf>
    <xf numFmtId="0" fontId="17" fillId="8" borderId="11" xfId="0" applyFont="1" applyFill="1" applyBorder="1" applyAlignment="1">
      <alignment horizontal="center" vertical="center" wrapText="1"/>
    </xf>
    <xf numFmtId="0" fontId="17" fillId="8" borderId="2" xfId="0" applyFont="1" applyFill="1" applyBorder="1" applyAlignment="1">
      <alignment horizontal="center" vertical="center" wrapText="1"/>
    </xf>
    <xf numFmtId="0" fontId="18" fillId="7" borderId="2" xfId="0" applyFont="1" applyFill="1" applyBorder="1" applyAlignment="1">
      <alignment horizontal="center" vertical="center" wrapText="1"/>
    </xf>
    <xf numFmtId="0" fontId="18" fillId="7" borderId="12" xfId="0" applyFont="1" applyFill="1" applyBorder="1" applyAlignment="1">
      <alignment horizontal="center" vertical="center" wrapText="1"/>
    </xf>
    <xf numFmtId="0" fontId="15" fillId="7" borderId="2" xfId="0" applyFont="1" applyFill="1" applyBorder="1" applyAlignment="1">
      <alignment vertical="center"/>
    </xf>
    <xf numFmtId="0" fontId="15" fillId="7" borderId="10" xfId="0" applyFont="1" applyFill="1" applyBorder="1" applyAlignment="1">
      <alignment vertical="center"/>
    </xf>
    <xf numFmtId="0" fontId="12" fillId="0" borderId="0" xfId="0" applyFont="1" applyAlignment="1">
      <alignment vertical="center"/>
    </xf>
    <xf numFmtId="0" fontId="12" fillId="0" borderId="1" xfId="0" applyFont="1" applyBorder="1" applyAlignment="1">
      <alignment vertical="center"/>
    </xf>
    <xf numFmtId="0" fontId="13" fillId="0" borderId="7" xfId="0" applyFont="1" applyBorder="1" applyAlignment="1">
      <alignment vertical="center"/>
    </xf>
    <xf numFmtId="0" fontId="12" fillId="0" borderId="0" xfId="0" applyFont="1" applyAlignment="1">
      <alignment horizontal="center" vertical="center"/>
    </xf>
    <xf numFmtId="0" fontId="13" fillId="0" borderId="2" xfId="0" applyFont="1" applyBorder="1" applyAlignment="1">
      <alignment vertical="center"/>
    </xf>
    <xf numFmtId="0" fontId="13" fillId="0" borderId="8" xfId="0" applyFont="1" applyBorder="1" applyAlignment="1">
      <alignment vertical="center"/>
    </xf>
    <xf numFmtId="0" fontId="18" fillId="0" borderId="0" xfId="0" applyFont="1" applyAlignment="1">
      <alignment vertical="center"/>
    </xf>
    <xf numFmtId="9" fontId="18" fillId="0" borderId="0" xfId="0" applyNumberFormat="1" applyFont="1" applyAlignment="1">
      <alignment vertical="center"/>
    </xf>
    <xf numFmtId="0" fontId="15" fillId="0" borderId="0" xfId="0" applyFont="1" applyAlignment="1">
      <alignment vertical="center"/>
    </xf>
    <xf numFmtId="0" fontId="16" fillId="0" borderId="0" xfId="0" applyFont="1" applyAlignment="1">
      <alignment vertical="center"/>
    </xf>
    <xf numFmtId="0" fontId="17" fillId="0" borderId="0" xfId="0" applyFont="1" applyAlignment="1">
      <alignment vertical="center" wrapText="1"/>
    </xf>
    <xf numFmtId="0" fontId="17" fillId="0" borderId="0" xfId="0" applyFont="1" applyAlignment="1">
      <alignment horizontal="center" vertical="center"/>
    </xf>
    <xf numFmtId="0" fontId="18" fillId="0" borderId="0" xfId="0" applyFont="1" applyAlignment="1">
      <alignment vertical="center" wrapText="1"/>
    </xf>
    <xf numFmtId="0" fontId="17" fillId="0" borderId="0" xfId="0" applyFont="1" applyAlignment="1">
      <alignment vertical="center"/>
    </xf>
    <xf numFmtId="0" fontId="15" fillId="7" borderId="5" xfId="0" applyFont="1" applyFill="1" applyBorder="1" applyAlignment="1">
      <alignment vertical="center"/>
    </xf>
    <xf numFmtId="0" fontId="12" fillId="0" borderId="1" xfId="0" applyFont="1" applyBorder="1" applyAlignment="1">
      <alignment horizontal="center" vertical="center"/>
    </xf>
    <xf numFmtId="0" fontId="16" fillId="6" borderId="1" xfId="0" applyFont="1" applyFill="1" applyBorder="1" applyAlignment="1">
      <alignment vertical="center"/>
    </xf>
    <xf numFmtId="0" fontId="12" fillId="6" borderId="1" xfId="0" applyFont="1" applyFill="1" applyBorder="1" applyAlignment="1">
      <alignment vertical="center"/>
    </xf>
    <xf numFmtId="1" fontId="12" fillId="0" borderId="1" xfId="0" applyNumberFormat="1" applyFont="1" applyBorder="1" applyAlignment="1">
      <alignment horizontal="center" vertical="center"/>
    </xf>
    <xf numFmtId="0" fontId="20" fillId="7" borderId="5"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6" fillId="6" borderId="15" xfId="0" applyFont="1" applyFill="1" applyBorder="1" applyAlignment="1">
      <alignment horizontal="left" vertical="center" wrapText="1"/>
    </xf>
    <xf numFmtId="0" fontId="2" fillId="6" borderId="2" xfId="0" applyFont="1" applyFill="1" applyBorder="1" applyAlignment="1">
      <alignment vertical="center" wrapText="1"/>
    </xf>
    <xf numFmtId="0" fontId="1" fillId="0" borderId="0" xfId="0" applyFont="1" applyAlignment="1">
      <alignment horizontal="left" vertical="center" wrapText="1"/>
    </xf>
    <xf numFmtId="0" fontId="14" fillId="8" borderId="5" xfId="0" applyFont="1" applyFill="1" applyBorder="1" applyAlignment="1">
      <alignment horizontal="center" vertical="center" wrapText="1"/>
    </xf>
    <xf numFmtId="0" fontId="17" fillId="8" borderId="10" xfId="0" applyFont="1" applyFill="1" applyBorder="1" applyAlignment="1">
      <alignment horizontal="center" vertical="center" wrapText="1"/>
    </xf>
    <xf numFmtId="0" fontId="17" fillId="8" borderId="11" xfId="0" applyFont="1" applyFill="1" applyBorder="1" applyAlignment="1">
      <alignment horizontal="center" vertical="center" wrapText="1"/>
    </xf>
    <xf numFmtId="9" fontId="14" fillId="6" borderId="10" xfId="0" applyNumberFormat="1" applyFont="1" applyFill="1" applyBorder="1" applyAlignment="1">
      <alignment horizontal="center" vertical="center" wrapText="1"/>
    </xf>
    <xf numFmtId="9" fontId="14" fillId="6" borderId="11" xfId="0" applyNumberFormat="1" applyFont="1" applyFill="1" applyBorder="1" applyAlignment="1">
      <alignment horizontal="center" vertical="center" wrapText="1"/>
    </xf>
    <xf numFmtId="0" fontId="14" fillId="5" borderId="10" xfId="0" applyFont="1" applyFill="1" applyBorder="1" applyAlignment="1">
      <alignment horizontal="center" vertical="center"/>
    </xf>
    <xf numFmtId="0" fontId="14" fillId="5" borderId="11" xfId="0" applyFont="1" applyFill="1" applyBorder="1" applyAlignment="1">
      <alignment horizontal="center" vertical="center"/>
    </xf>
    <xf numFmtId="0" fontId="14" fillId="4" borderId="10" xfId="0" applyFont="1" applyFill="1" applyBorder="1" applyAlignment="1">
      <alignment horizontal="center" vertical="center"/>
    </xf>
    <xf numFmtId="0" fontId="14" fillId="4" borderId="14" xfId="0" applyFont="1" applyFill="1" applyBorder="1" applyAlignment="1">
      <alignment horizontal="center" vertical="center"/>
    </xf>
    <xf numFmtId="0" fontId="14" fillId="4" borderId="11" xfId="0" applyFont="1" applyFill="1" applyBorder="1" applyAlignment="1">
      <alignment horizontal="center" vertical="center"/>
    </xf>
    <xf numFmtId="9" fontId="14" fillId="5" borderId="10" xfId="0" applyNumberFormat="1" applyFont="1" applyFill="1" applyBorder="1" applyAlignment="1">
      <alignment horizontal="center" vertical="center" wrapText="1"/>
    </xf>
    <xf numFmtId="9" fontId="14" fillId="5" borderId="14" xfId="0" applyNumberFormat="1" applyFont="1" applyFill="1" applyBorder="1" applyAlignment="1">
      <alignment horizontal="center" vertical="center" wrapText="1"/>
    </xf>
    <xf numFmtId="9" fontId="14" fillId="5" borderId="11" xfId="0" applyNumberFormat="1" applyFont="1" applyFill="1" applyBorder="1" applyAlignment="1">
      <alignment horizontal="center" vertical="center" wrapText="1"/>
    </xf>
    <xf numFmtId="0" fontId="17" fillId="8" borderId="18" xfId="0" applyFont="1" applyFill="1" applyBorder="1" applyAlignment="1">
      <alignment horizontal="center" vertical="center" wrapText="1"/>
    </xf>
    <xf numFmtId="0" fontId="17" fillId="8" borderId="19" xfId="0" applyFont="1" applyFill="1" applyBorder="1" applyAlignment="1">
      <alignment horizontal="center" vertical="center" wrapText="1"/>
    </xf>
    <xf numFmtId="0" fontId="11" fillId="3" borderId="8" xfId="0" applyFont="1" applyFill="1" applyBorder="1" applyAlignment="1">
      <alignment horizontal="center" vertical="center" wrapText="1"/>
    </xf>
    <xf numFmtId="0" fontId="11" fillId="3" borderId="9" xfId="0" applyFont="1" applyFill="1" applyBorder="1" applyAlignment="1">
      <alignment horizontal="center" vertical="center" wrapText="1"/>
    </xf>
    <xf numFmtId="0" fontId="11" fillId="3" borderId="10" xfId="0" applyFont="1" applyFill="1" applyBorder="1" applyAlignment="1">
      <alignment horizontal="center" vertical="center" wrapText="1"/>
    </xf>
    <xf numFmtId="0" fontId="11" fillId="3" borderId="11" xfId="0" applyFont="1" applyFill="1" applyBorder="1" applyAlignment="1">
      <alignment horizontal="center" vertical="center" wrapText="1"/>
    </xf>
    <xf numFmtId="0" fontId="17" fillId="8" borderId="12" xfId="0" applyFont="1" applyFill="1" applyBorder="1" applyAlignment="1">
      <alignment horizontal="center" vertical="center" wrapText="1"/>
    </xf>
    <xf numFmtId="0" fontId="17" fillId="8" borderId="13" xfId="0" applyFont="1" applyFill="1" applyBorder="1" applyAlignment="1">
      <alignment horizontal="center" vertical="center" wrapText="1"/>
    </xf>
  </cellXfs>
  <cellStyles count="1">
    <cellStyle name="Normal" xfId="0" builtinId="0"/>
  </cellStyles>
  <dxfs count="3">
    <dxf>
      <font>
        <color rgb="FF000000"/>
      </font>
      <fill>
        <patternFill patternType="solid">
          <bgColor rgb="FFFF0000"/>
        </patternFill>
      </fill>
    </dxf>
    <dxf>
      <font>
        <color rgb="FF000000"/>
      </font>
      <fill>
        <patternFill patternType="solid">
          <bgColor rgb="FFFF0000"/>
        </patternFill>
      </fill>
    </dxf>
    <dxf>
      <font>
        <color rgb="FF000000"/>
      </font>
      <fill>
        <patternFill patternType="solid">
          <bgColor rgb="FFA9D08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19050</xdr:colOff>
      <xdr:row>0</xdr:row>
      <xdr:rowOff>9525</xdr:rowOff>
    </xdr:from>
    <xdr:ext cx="666750" cy="390525"/>
    <xdr:pic>
      <xdr:nvPicPr>
        <xdr:cNvPr id="2" name="image1.png" title="Image">
          <a:extLst>
            <a:ext uri="{FF2B5EF4-FFF2-40B4-BE49-F238E27FC236}">
              <a16:creationId xmlns:a16="http://schemas.microsoft.com/office/drawing/2014/main" id="{19A73B3F-9EAD-4685-AF9B-97057B69F3C0}"/>
            </a:ext>
          </a:extLst>
        </xdr:cNvPr>
        <xdr:cNvPicPr preferRelativeResize="0"/>
      </xdr:nvPicPr>
      <xdr:blipFill>
        <a:blip xmlns:r="http://schemas.openxmlformats.org/officeDocument/2006/relationships" r:embed="rId1" cstate="print"/>
        <a:stretch>
          <a:fillRect/>
        </a:stretch>
      </xdr:blipFill>
      <xdr:spPr>
        <a:xfrm>
          <a:off x="19050" y="9525"/>
          <a:ext cx="666750" cy="390525"/>
        </a:xfrm>
        <a:prstGeom prst="rect">
          <a:avLst/>
        </a:prstGeom>
        <a:noFill/>
      </xdr:spPr>
    </xdr:pic>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G30" sqref="G30"/>
    </sheetView>
  </sheetViews>
  <sheetFormatPr defaultRowHeight="1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F8945-8045-4EC6-A269-FB2A84697C4A}">
  <dimension ref="A1:M55"/>
  <sheetViews>
    <sheetView topLeftCell="A26" workbookViewId="0">
      <selection activeCell="G28" sqref="G28"/>
    </sheetView>
  </sheetViews>
  <sheetFormatPr defaultColWidth="8.7109375" defaultRowHeight="15"/>
  <cols>
    <col min="1" max="1" width="11.85546875" style="12" customWidth="1"/>
    <col min="2" max="2" width="74.7109375" style="12" customWidth="1"/>
    <col min="3" max="3" width="12.42578125" style="20" customWidth="1"/>
    <col min="4" max="4" width="66.28515625" style="12" customWidth="1"/>
    <col min="5" max="16384" width="8.7109375" style="12"/>
  </cols>
  <sheetData>
    <row r="1" spans="1:13" ht="14.45" customHeight="1">
      <c r="B1" s="67" t="s">
        <v>0</v>
      </c>
      <c r="C1" s="67"/>
      <c r="D1" s="67"/>
      <c r="E1" s="67"/>
      <c r="F1" s="67"/>
      <c r="G1" s="67"/>
      <c r="H1" s="67"/>
      <c r="I1" s="67"/>
      <c r="J1" s="67"/>
      <c r="K1" s="67"/>
      <c r="L1" s="67"/>
      <c r="M1" s="67"/>
    </row>
    <row r="2" spans="1:13">
      <c r="B2" s="67"/>
      <c r="C2" s="67"/>
      <c r="D2" s="67"/>
      <c r="E2" s="67"/>
      <c r="F2" s="67"/>
      <c r="G2" s="67"/>
      <c r="H2" s="67"/>
      <c r="I2" s="67"/>
      <c r="J2" s="67"/>
      <c r="K2" s="67"/>
      <c r="L2" s="67"/>
      <c r="M2" s="67"/>
    </row>
    <row r="3" spans="1:13">
      <c r="B3" s="67"/>
      <c r="C3" s="67"/>
      <c r="D3" s="67"/>
      <c r="E3" s="67"/>
      <c r="F3" s="67"/>
      <c r="G3" s="67"/>
      <c r="H3" s="67"/>
      <c r="I3" s="67"/>
      <c r="J3" s="67"/>
      <c r="K3" s="67"/>
      <c r="L3" s="67"/>
      <c r="M3" s="67"/>
    </row>
    <row r="5" spans="1:13" ht="33.950000000000003" customHeight="1">
      <c r="B5" s="13" t="s">
        <v>1</v>
      </c>
      <c r="C5" s="21"/>
      <c r="D5" s="14"/>
    </row>
    <row r="6" spans="1:13" ht="15.75">
      <c r="B6" s="4" t="s">
        <v>2</v>
      </c>
      <c r="C6" s="21"/>
      <c r="D6" s="14"/>
    </row>
    <row r="7" spans="1:13" ht="15.75">
      <c r="B7" s="4" t="s">
        <v>3</v>
      </c>
      <c r="C7" s="21"/>
      <c r="D7" s="14"/>
    </row>
    <row r="8" spans="1:13" ht="15.75">
      <c r="B8" s="4" t="s">
        <v>4</v>
      </c>
      <c r="C8" s="21"/>
      <c r="D8" s="15"/>
    </row>
    <row r="9" spans="1:13" ht="24.6" customHeight="1">
      <c r="B9" s="16" t="s">
        <v>5</v>
      </c>
      <c r="C9" s="18"/>
      <c r="D9" s="14"/>
    </row>
    <row r="10" spans="1:13" ht="30.6" customHeight="1">
      <c r="B10" s="13" t="s">
        <v>6</v>
      </c>
      <c r="C10" s="22" t="s">
        <v>7</v>
      </c>
      <c r="D10" s="7" t="s">
        <v>8</v>
      </c>
    </row>
    <row r="11" spans="1:13" ht="15.75">
      <c r="B11" s="13" t="s">
        <v>9</v>
      </c>
      <c r="C11" s="18"/>
      <c r="D11" s="14"/>
    </row>
    <row r="12" spans="1:13" ht="120.6" customHeight="1">
      <c r="B12" s="65" t="s">
        <v>10</v>
      </c>
      <c r="C12" s="23"/>
      <c r="D12" s="14"/>
    </row>
    <row r="13" spans="1:13" ht="90" customHeight="1">
      <c r="A13" s="17"/>
      <c r="B13" s="64" t="s">
        <v>11</v>
      </c>
      <c r="C13" s="24"/>
      <c r="D13" s="14"/>
    </row>
    <row r="14" spans="1:13" ht="46.5" customHeight="1">
      <c r="B14" s="5" t="s">
        <v>12</v>
      </c>
      <c r="C14" s="18"/>
      <c r="D14" s="14"/>
    </row>
    <row r="15" spans="1:13" ht="49.5" customHeight="1">
      <c r="B15" s="5" t="s">
        <v>13</v>
      </c>
      <c r="C15" s="18"/>
      <c r="D15" s="14"/>
    </row>
    <row r="16" spans="1:13" ht="57" customHeight="1">
      <c r="B16" s="5" t="s">
        <v>14</v>
      </c>
      <c r="C16" s="18"/>
      <c r="D16" s="14"/>
    </row>
    <row r="17" spans="1:4" ht="15.75">
      <c r="B17" s="13" t="s">
        <v>15</v>
      </c>
      <c r="C17" s="18"/>
      <c r="D17" s="14"/>
    </row>
    <row r="18" spans="1:4" ht="15.75">
      <c r="A18" s="17"/>
      <c r="B18" s="7" t="s">
        <v>16</v>
      </c>
      <c r="C18" s="18"/>
      <c r="D18" s="14"/>
    </row>
    <row r="19" spans="1:4" ht="73.5" customHeight="1">
      <c r="A19" s="17"/>
      <c r="B19" s="8" t="s">
        <v>17</v>
      </c>
      <c r="C19" s="24"/>
      <c r="D19" s="14"/>
    </row>
    <row r="20" spans="1:4" ht="39.950000000000003" customHeight="1">
      <c r="A20" s="17"/>
      <c r="B20" s="9" t="s">
        <v>18</v>
      </c>
      <c r="C20" s="25"/>
      <c r="D20" s="14"/>
    </row>
    <row r="21" spans="1:4" ht="63.75" customHeight="1">
      <c r="A21" s="17"/>
      <c r="B21" s="66" t="s">
        <v>19</v>
      </c>
      <c r="C21" s="26"/>
      <c r="D21" s="14"/>
    </row>
    <row r="22" spans="1:4" ht="63.75" customHeight="1">
      <c r="A22" s="17"/>
      <c r="B22" s="66" t="s">
        <v>20</v>
      </c>
      <c r="C22" s="26"/>
      <c r="D22" s="14"/>
    </row>
    <row r="23" spans="1:4" ht="63.75" customHeight="1">
      <c r="A23" s="17"/>
      <c r="B23" s="66" t="s">
        <v>21</v>
      </c>
      <c r="C23" s="26"/>
      <c r="D23" s="14"/>
    </row>
    <row r="24" spans="1:4" ht="63.75" customHeight="1">
      <c r="A24" s="17"/>
      <c r="B24" s="10" t="s">
        <v>22</v>
      </c>
      <c r="C24" s="26"/>
      <c r="D24" s="14"/>
    </row>
    <row r="25" spans="1:4" ht="63.75" customHeight="1">
      <c r="A25" s="17"/>
      <c r="B25" s="66" t="s">
        <v>23</v>
      </c>
      <c r="C25" s="26"/>
      <c r="D25" s="14"/>
    </row>
    <row r="26" spans="1:4" ht="63.75" customHeight="1">
      <c r="A26" s="17"/>
      <c r="B26" s="10" t="s">
        <v>24</v>
      </c>
      <c r="C26" s="26"/>
      <c r="D26" s="14"/>
    </row>
    <row r="27" spans="1:4" ht="63.75" customHeight="1">
      <c r="A27" s="17"/>
      <c r="B27" s="66" t="s">
        <v>25</v>
      </c>
      <c r="C27" s="26"/>
      <c r="D27" s="14"/>
    </row>
    <row r="28" spans="1:4" ht="63.75" customHeight="1">
      <c r="A28" s="17"/>
      <c r="B28" s="66" t="s">
        <v>26</v>
      </c>
      <c r="C28" s="26"/>
      <c r="D28" s="14"/>
    </row>
    <row r="29" spans="1:4" ht="63" customHeight="1">
      <c r="A29" s="17"/>
      <c r="B29" s="10" t="s">
        <v>27</v>
      </c>
      <c r="C29" s="26"/>
      <c r="D29" s="14"/>
    </row>
    <row r="30" spans="1:4" ht="39.6" customHeight="1">
      <c r="A30" s="17"/>
      <c r="B30" s="11" t="s">
        <v>28</v>
      </c>
      <c r="C30" s="27"/>
      <c r="D30" s="14"/>
    </row>
    <row r="31" spans="1:4" ht="58.5" customHeight="1">
      <c r="A31" s="17"/>
      <c r="B31" s="10" t="s">
        <v>29</v>
      </c>
      <c r="C31" s="26"/>
      <c r="D31" s="14"/>
    </row>
    <row r="32" spans="1:4" ht="55.5" customHeight="1">
      <c r="A32" s="17"/>
      <c r="B32" s="10" t="s">
        <v>30</v>
      </c>
      <c r="C32" s="26"/>
      <c r="D32" s="14"/>
    </row>
    <row r="33" spans="1:4" ht="79.5" customHeight="1">
      <c r="A33" s="17"/>
      <c r="B33" s="10" t="s">
        <v>31</v>
      </c>
      <c r="C33" s="26"/>
      <c r="D33" s="14"/>
    </row>
    <row r="34" spans="1:4" ht="31.5">
      <c r="A34" s="17"/>
      <c r="B34" s="7" t="s">
        <v>32</v>
      </c>
      <c r="C34" s="18"/>
      <c r="D34" s="14"/>
    </row>
    <row r="35" spans="1:4" ht="93.75" customHeight="1">
      <c r="A35" s="17"/>
      <c r="B35" s="4"/>
      <c r="C35" s="24"/>
      <c r="D35" s="14"/>
    </row>
    <row r="36" spans="1:4" ht="68.25" customHeight="1">
      <c r="A36" s="17"/>
      <c r="B36" s="4" t="s">
        <v>33</v>
      </c>
      <c r="C36" s="24"/>
      <c r="D36" s="14"/>
    </row>
    <row r="37" spans="1:4" ht="31.5">
      <c r="A37" s="17"/>
      <c r="B37" s="7" t="s">
        <v>34</v>
      </c>
      <c r="C37" s="24"/>
      <c r="D37" s="14"/>
    </row>
    <row r="38" spans="1:4" ht="15.75">
      <c r="A38" s="17"/>
      <c r="B38" s="4" t="s">
        <v>35</v>
      </c>
      <c r="C38" s="24"/>
      <c r="D38" s="14"/>
    </row>
    <row r="39" spans="1:4" ht="31.5">
      <c r="A39" s="17"/>
      <c r="B39" s="4" t="s">
        <v>36</v>
      </c>
      <c r="C39" s="24"/>
      <c r="D39" s="14"/>
    </row>
    <row r="40" spans="1:4" ht="15.75">
      <c r="B40" s="4" t="s">
        <v>37</v>
      </c>
      <c r="C40" s="18"/>
      <c r="D40" s="14"/>
    </row>
    <row r="41" spans="1:4" ht="15.75">
      <c r="B41" s="4"/>
      <c r="C41" s="18"/>
      <c r="D41" s="14"/>
    </row>
    <row r="42" spans="1:4" ht="15.75">
      <c r="B42" s="7" t="s">
        <v>38</v>
      </c>
      <c r="C42" s="18"/>
      <c r="D42" s="14"/>
    </row>
    <row r="43" spans="1:4" ht="15.75">
      <c r="B43" s="4" t="s">
        <v>39</v>
      </c>
      <c r="C43" s="18"/>
      <c r="D43" s="14"/>
    </row>
    <row r="44" spans="1:4" ht="15.75">
      <c r="B44" s="4" t="s">
        <v>40</v>
      </c>
      <c r="C44" s="24"/>
      <c r="D44" s="14"/>
    </row>
    <row r="45" spans="1:4" s="1" customFormat="1" ht="15.75">
      <c r="B45" s="3" t="s">
        <v>41</v>
      </c>
      <c r="C45" s="28"/>
      <c r="D45" s="2"/>
    </row>
    <row r="46" spans="1:4" s="1" customFormat="1" ht="15.75">
      <c r="B46" s="6" t="s">
        <v>42</v>
      </c>
      <c r="C46" s="29"/>
      <c r="D46" s="2"/>
    </row>
    <row r="47" spans="1:4" s="1" customFormat="1" ht="15.75">
      <c r="B47" s="6"/>
      <c r="C47" s="29"/>
      <c r="D47" s="2"/>
    </row>
    <row r="48" spans="1:4" ht="15.75">
      <c r="B48" s="4"/>
      <c r="C48" s="18"/>
      <c r="D48" s="14"/>
    </row>
    <row r="49" spans="2:4" ht="15.75">
      <c r="B49" s="5"/>
      <c r="C49" s="18"/>
      <c r="D49" s="14"/>
    </row>
    <row r="50" spans="2:4" ht="15.75">
      <c r="B50" s="13" t="s">
        <v>43</v>
      </c>
      <c r="C50" s="19"/>
      <c r="D50" s="14"/>
    </row>
    <row r="51" spans="2:4" ht="34.5" customHeight="1">
      <c r="B51" s="13" t="s">
        <v>44</v>
      </c>
      <c r="C51" s="63"/>
      <c r="D51" s="14"/>
    </row>
    <row r="52" spans="2:4" ht="15.75">
      <c r="B52" s="7"/>
      <c r="C52" s="18"/>
      <c r="D52" s="14"/>
    </row>
    <row r="53" spans="2:4" ht="15.75">
      <c r="B53" s="7" t="s">
        <v>45</v>
      </c>
      <c r="C53" s="18"/>
      <c r="D53" s="14"/>
    </row>
    <row r="54" spans="2:4" ht="15.75">
      <c r="B54" s="5" t="s">
        <v>46</v>
      </c>
      <c r="C54" s="18"/>
      <c r="D54" s="14"/>
    </row>
    <row r="55" spans="2:4" ht="15.75">
      <c r="B55" s="7" t="s">
        <v>47</v>
      </c>
      <c r="C55" s="18"/>
      <c r="D55" s="14"/>
    </row>
  </sheetData>
  <mergeCells count="1">
    <mergeCell ref="B1:M3"/>
  </mergeCells>
  <conditionalFormatting sqref="C13 C19:C20 C30 C35:C36 C38:C39 C45 C51">
    <cfRule type="cellIs" dxfId="2" priority="1" operator="greaterThan">
      <formula>0</formula>
    </cfRule>
    <cfRule type="containsBlanks" dxfId="1" priority="2">
      <formula>LEN(TRIM(C13))=0</formula>
    </cfRule>
    <cfRule type="cellIs" dxfId="0" priority="3" operator="lessThanOrEqual">
      <formula>0</formula>
    </cfRule>
  </conditionalFormatting>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27B74-EB75-461E-9D6C-C9C54491393E}">
  <dimension ref="A1:Z24"/>
  <sheetViews>
    <sheetView tabSelected="1" workbookViewId="0">
      <selection activeCell="I21" sqref="I21"/>
    </sheetView>
  </sheetViews>
  <sheetFormatPr defaultColWidth="9.140625" defaultRowHeight="15" customHeight="1"/>
  <cols>
    <col min="1" max="1" width="9.140625" style="44"/>
    <col min="2" max="2" width="14.7109375" style="44" customWidth="1"/>
    <col min="3" max="3" width="19.42578125" style="44" customWidth="1"/>
    <col min="4" max="4" width="44.5703125" style="44" customWidth="1"/>
    <col min="5" max="5" width="8" style="44" customWidth="1"/>
    <col min="6" max="10" width="9.140625" style="44"/>
    <col min="11" max="16" width="9.140625" style="44" customWidth="1"/>
    <col min="17" max="18" width="9.140625" style="44"/>
    <col min="19" max="19" width="7.7109375" style="47" customWidth="1"/>
    <col min="20" max="16384" width="9.140625" style="44"/>
  </cols>
  <sheetData>
    <row r="1" spans="1:26" ht="45.6" customHeight="1">
      <c r="A1" s="83"/>
      <c r="B1" s="85" t="s">
        <v>48</v>
      </c>
      <c r="C1" s="85" t="s">
        <v>49</v>
      </c>
      <c r="D1" s="69" t="s">
        <v>50</v>
      </c>
      <c r="E1" s="69" t="s">
        <v>51</v>
      </c>
      <c r="F1" s="37" t="s">
        <v>52</v>
      </c>
      <c r="G1" s="87" t="s">
        <v>53</v>
      </c>
      <c r="H1" s="88"/>
      <c r="I1" s="88"/>
      <c r="J1" s="88"/>
      <c r="K1" s="88"/>
      <c r="L1" s="69" t="s">
        <v>54</v>
      </c>
      <c r="M1" s="69" t="s">
        <v>55</v>
      </c>
      <c r="N1" s="69" t="s">
        <v>56</v>
      </c>
      <c r="O1" s="81" t="s">
        <v>57</v>
      </c>
      <c r="P1" s="68" t="s">
        <v>58</v>
      </c>
      <c r="Q1" s="45" t="s">
        <v>59</v>
      </c>
      <c r="R1" s="45"/>
      <c r="S1" s="45" t="s">
        <v>60</v>
      </c>
      <c r="T1" s="45"/>
      <c r="U1" s="45" t="s">
        <v>61</v>
      </c>
      <c r="V1" s="45"/>
      <c r="W1" s="45" t="s">
        <v>62</v>
      </c>
      <c r="X1" s="45"/>
      <c r="Y1" s="45" t="s">
        <v>63</v>
      </c>
      <c r="Z1" s="45"/>
    </row>
    <row r="2" spans="1:26" ht="43.5" customHeight="1">
      <c r="A2" s="84"/>
      <c r="B2" s="86"/>
      <c r="C2" s="86"/>
      <c r="D2" s="70"/>
      <c r="E2" s="70"/>
      <c r="F2" s="38" t="s">
        <v>64</v>
      </c>
      <c r="G2" s="39">
        <v>1</v>
      </c>
      <c r="H2" s="39">
        <v>2</v>
      </c>
      <c r="I2" s="39">
        <v>3</v>
      </c>
      <c r="J2" s="39">
        <v>4</v>
      </c>
      <c r="K2" s="39">
        <v>5</v>
      </c>
      <c r="L2" s="70"/>
      <c r="M2" s="70"/>
      <c r="N2" s="70"/>
      <c r="O2" s="82"/>
      <c r="P2" s="68"/>
      <c r="Q2" s="45" t="s">
        <v>65</v>
      </c>
      <c r="R2" s="45" t="s">
        <v>51</v>
      </c>
      <c r="S2" s="45" t="s">
        <v>65</v>
      </c>
      <c r="T2" s="45" t="s">
        <v>51</v>
      </c>
      <c r="U2" s="45" t="s">
        <v>65</v>
      </c>
      <c r="V2" s="45" t="s">
        <v>51</v>
      </c>
      <c r="W2" s="45" t="s">
        <v>65</v>
      </c>
      <c r="X2" s="45" t="s">
        <v>51</v>
      </c>
      <c r="Y2" s="45" t="s">
        <v>65</v>
      </c>
      <c r="Z2" s="45" t="s">
        <v>51</v>
      </c>
    </row>
    <row r="3" spans="1:26">
      <c r="A3" s="46">
        <v>1.1000000000000001</v>
      </c>
      <c r="B3" s="73" t="s">
        <v>66</v>
      </c>
      <c r="C3" s="71">
        <v>0.04</v>
      </c>
      <c r="D3" s="31" t="s">
        <v>67</v>
      </c>
      <c r="E3" s="32">
        <f>'Câu hỏi phỏng vấn'!C38</f>
        <v>0</v>
      </c>
      <c r="F3" s="33">
        <v>0.02</v>
      </c>
      <c r="G3" s="40">
        <f>M3</f>
        <v>2</v>
      </c>
      <c r="H3" s="40">
        <f>G3+$O$3</f>
        <v>6.5</v>
      </c>
      <c r="I3" s="40">
        <f>H3+$O$3</f>
        <v>11</v>
      </c>
      <c r="J3" s="40">
        <f>I3+$O$3</f>
        <v>15.5</v>
      </c>
      <c r="K3" s="40">
        <f>J3+$O$3</f>
        <v>20</v>
      </c>
      <c r="L3" s="40">
        <f>F3*$F$18</f>
        <v>20</v>
      </c>
      <c r="M3" s="40">
        <f>F3*$F$19</f>
        <v>2</v>
      </c>
      <c r="N3" s="40">
        <v>5</v>
      </c>
      <c r="O3" s="41">
        <f>(L3-M3)/(N3-1)</f>
        <v>4.5</v>
      </c>
      <c r="P3" s="58">
        <f t="shared" ref="P3:P15" si="0">G3+(L3-M3)/(N3-1)*(E3-1)</f>
        <v>-2.5</v>
      </c>
      <c r="Q3" s="45">
        <v>2</v>
      </c>
      <c r="R3" s="40">
        <f t="shared" ref="R3:R15" si="1">G3+(L3-M3)/(N3-1)*(Q3-1)</f>
        <v>6.5</v>
      </c>
      <c r="S3" s="45">
        <v>2</v>
      </c>
      <c r="T3" s="45">
        <f t="shared" ref="T3:T15" si="2">G3+(L3-M3)/(N3-1)*(S3-1)</f>
        <v>6.5</v>
      </c>
      <c r="U3" s="45">
        <v>3</v>
      </c>
      <c r="V3" s="45">
        <f t="shared" ref="V3:V15" si="3">G3+(L3-M3)/(N3-1)*(U3-1)</f>
        <v>11</v>
      </c>
      <c r="W3" s="45">
        <v>4</v>
      </c>
      <c r="X3" s="45">
        <f t="shared" ref="X3:X15" si="4">G3+(L3-M3)/(N3-1)*(W3-1)</f>
        <v>15.5</v>
      </c>
      <c r="Y3" s="45">
        <v>4</v>
      </c>
      <c r="Z3" s="45">
        <f t="shared" ref="Z3:Z15" si="5">G3+(L3-M3)/(N3-1)*(Y3-1)</f>
        <v>15.5</v>
      </c>
    </row>
    <row r="4" spans="1:26">
      <c r="A4" s="46"/>
      <c r="B4" s="74"/>
      <c r="C4" s="72"/>
      <c r="D4" s="31" t="s">
        <v>68</v>
      </c>
      <c r="E4" s="32">
        <f>'Câu hỏi phỏng vấn'!C39</f>
        <v>0</v>
      </c>
      <c r="F4" s="33">
        <v>0.02</v>
      </c>
      <c r="G4" s="40">
        <f t="shared" ref="G4:G15" si="6">M4</f>
        <v>2</v>
      </c>
      <c r="H4" s="40">
        <f>G4+$O$4</f>
        <v>11</v>
      </c>
      <c r="I4" s="40">
        <f>H4+$O$4</f>
        <v>20</v>
      </c>
      <c r="J4" s="40"/>
      <c r="K4" s="40"/>
      <c r="L4" s="40">
        <f t="shared" ref="L4:L15" si="7">F4*$F$18</f>
        <v>20</v>
      </c>
      <c r="M4" s="40">
        <f t="shared" ref="M4:M15" si="8">F4*$F$19</f>
        <v>2</v>
      </c>
      <c r="N4" s="40">
        <v>3</v>
      </c>
      <c r="O4" s="41">
        <f t="shared" ref="O4:O15" si="9">(L4-M4)/(N4-1)</f>
        <v>9</v>
      </c>
      <c r="P4" s="58">
        <f t="shared" si="0"/>
        <v>-7</v>
      </c>
      <c r="Q4" s="45">
        <v>2</v>
      </c>
      <c r="R4" s="40">
        <f t="shared" si="1"/>
        <v>11</v>
      </c>
      <c r="S4" s="45">
        <v>3</v>
      </c>
      <c r="T4" s="45">
        <f t="shared" si="2"/>
        <v>20</v>
      </c>
      <c r="U4" s="45">
        <v>3</v>
      </c>
      <c r="V4" s="45">
        <f t="shared" si="3"/>
        <v>20</v>
      </c>
      <c r="W4" s="45">
        <v>3</v>
      </c>
      <c r="X4" s="45">
        <f t="shared" si="4"/>
        <v>20</v>
      </c>
      <c r="Y4" s="45">
        <v>3</v>
      </c>
      <c r="Z4" s="45">
        <f t="shared" si="5"/>
        <v>20</v>
      </c>
    </row>
    <row r="5" spans="1:26">
      <c r="A5" s="46">
        <v>2.1</v>
      </c>
      <c r="B5" s="75" t="s">
        <v>69</v>
      </c>
      <c r="C5" s="78">
        <v>0.7</v>
      </c>
      <c r="D5" s="31" t="s">
        <v>70</v>
      </c>
      <c r="E5" s="32">
        <f>'Câu hỏi phỏng vấn'!C19</f>
        <v>0</v>
      </c>
      <c r="F5" s="33">
        <v>0.05</v>
      </c>
      <c r="G5" s="40">
        <f t="shared" si="6"/>
        <v>5</v>
      </c>
      <c r="H5" s="40">
        <f>G5+$O$5</f>
        <v>16.25</v>
      </c>
      <c r="I5" s="40">
        <f t="shared" ref="I5:J5" si="10">H5+$O$5</f>
        <v>27.5</v>
      </c>
      <c r="J5" s="40">
        <f t="shared" si="10"/>
        <v>38.75</v>
      </c>
      <c r="K5" s="40">
        <f>J5+$O$5</f>
        <v>50</v>
      </c>
      <c r="L5" s="40">
        <f t="shared" si="7"/>
        <v>50</v>
      </c>
      <c r="M5" s="40">
        <f t="shared" si="8"/>
        <v>5</v>
      </c>
      <c r="N5" s="40">
        <v>5</v>
      </c>
      <c r="O5" s="41">
        <f t="shared" si="9"/>
        <v>11.25</v>
      </c>
      <c r="P5" s="58">
        <f t="shared" si="0"/>
        <v>-6.25</v>
      </c>
      <c r="Q5" s="45">
        <v>1</v>
      </c>
      <c r="R5" s="40">
        <f t="shared" si="1"/>
        <v>5</v>
      </c>
      <c r="S5" s="45">
        <v>3</v>
      </c>
      <c r="T5" s="45">
        <f t="shared" si="2"/>
        <v>27.5</v>
      </c>
      <c r="U5" s="45">
        <v>4</v>
      </c>
      <c r="V5" s="45">
        <f t="shared" si="3"/>
        <v>38.75</v>
      </c>
      <c r="W5" s="45">
        <v>4</v>
      </c>
      <c r="X5" s="45">
        <f t="shared" si="4"/>
        <v>38.75</v>
      </c>
      <c r="Y5" s="45">
        <v>5</v>
      </c>
      <c r="Z5" s="45">
        <f t="shared" si="5"/>
        <v>50</v>
      </c>
    </row>
    <row r="6" spans="1:26">
      <c r="A6" s="46">
        <v>3.1</v>
      </c>
      <c r="B6" s="76"/>
      <c r="C6" s="79"/>
      <c r="D6" s="31" t="s">
        <v>71</v>
      </c>
      <c r="E6" s="32">
        <f>'Câu hỏi phỏng vấn'!C20</f>
        <v>0</v>
      </c>
      <c r="F6" s="33">
        <v>0.4</v>
      </c>
      <c r="G6" s="40">
        <f t="shared" si="6"/>
        <v>40</v>
      </c>
      <c r="H6" s="40">
        <f>G6+$O$6</f>
        <v>130</v>
      </c>
      <c r="I6" s="40">
        <f t="shared" ref="I6:J6" si="11">H6+$O$6</f>
        <v>220</v>
      </c>
      <c r="J6" s="40">
        <f t="shared" si="11"/>
        <v>310</v>
      </c>
      <c r="K6" s="40">
        <f>J6+$O$6</f>
        <v>400</v>
      </c>
      <c r="L6" s="40">
        <f>F6*$F$18</f>
        <v>400</v>
      </c>
      <c r="M6" s="40">
        <f>F6*$F$19</f>
        <v>40</v>
      </c>
      <c r="N6" s="40">
        <v>5</v>
      </c>
      <c r="O6" s="41">
        <f>(L6-M6)/(N6-1)</f>
        <v>90</v>
      </c>
      <c r="P6" s="58">
        <f t="shared" si="0"/>
        <v>-50</v>
      </c>
      <c r="Q6" s="45">
        <v>2</v>
      </c>
      <c r="R6" s="40">
        <f t="shared" si="1"/>
        <v>130</v>
      </c>
      <c r="S6" s="45">
        <v>3</v>
      </c>
      <c r="T6" s="45">
        <f t="shared" si="2"/>
        <v>220</v>
      </c>
      <c r="U6" s="45">
        <v>3</v>
      </c>
      <c r="V6" s="45">
        <f t="shared" si="3"/>
        <v>220</v>
      </c>
      <c r="W6" s="45">
        <v>4</v>
      </c>
      <c r="X6" s="45">
        <f t="shared" si="4"/>
        <v>310</v>
      </c>
      <c r="Y6" s="45">
        <v>5</v>
      </c>
      <c r="Z6" s="45">
        <f t="shared" si="5"/>
        <v>400</v>
      </c>
    </row>
    <row r="7" spans="1:26">
      <c r="A7" s="46">
        <v>3.3</v>
      </c>
      <c r="B7" s="76"/>
      <c r="C7" s="79"/>
      <c r="D7" s="31" t="s">
        <v>72</v>
      </c>
      <c r="E7" s="32" t="e">
        <f>'Câu hỏi phỏng vấn'!#REF!</f>
        <v>#REF!</v>
      </c>
      <c r="F7" s="33">
        <v>0.05</v>
      </c>
      <c r="G7" s="40">
        <f t="shared" si="6"/>
        <v>5</v>
      </c>
      <c r="H7" s="40">
        <f>G7+$O$7</f>
        <v>16.25</v>
      </c>
      <c r="I7" s="40">
        <f t="shared" ref="I7:K7" si="12">H7+$O$7</f>
        <v>27.5</v>
      </c>
      <c r="J7" s="40">
        <f t="shared" si="12"/>
        <v>38.75</v>
      </c>
      <c r="K7" s="40">
        <f t="shared" si="12"/>
        <v>50</v>
      </c>
      <c r="L7" s="40">
        <f t="shared" si="7"/>
        <v>50</v>
      </c>
      <c r="M7" s="40">
        <f t="shared" si="8"/>
        <v>5</v>
      </c>
      <c r="N7" s="40">
        <v>5</v>
      </c>
      <c r="O7" s="41">
        <f t="shared" si="9"/>
        <v>11.25</v>
      </c>
      <c r="P7" s="58" t="e">
        <f t="shared" si="0"/>
        <v>#REF!</v>
      </c>
      <c r="Q7" s="45">
        <v>1</v>
      </c>
      <c r="R7" s="40">
        <f t="shared" si="1"/>
        <v>5</v>
      </c>
      <c r="S7" s="45">
        <v>2</v>
      </c>
      <c r="T7" s="45">
        <f t="shared" si="2"/>
        <v>16.25</v>
      </c>
      <c r="U7" s="45">
        <v>3</v>
      </c>
      <c r="V7" s="45">
        <f t="shared" si="3"/>
        <v>27.5</v>
      </c>
      <c r="W7" s="45">
        <v>4</v>
      </c>
      <c r="X7" s="45">
        <f t="shared" si="4"/>
        <v>38.75</v>
      </c>
      <c r="Y7" s="45">
        <v>4</v>
      </c>
      <c r="Z7" s="45">
        <f t="shared" si="5"/>
        <v>38.75</v>
      </c>
    </row>
    <row r="8" spans="1:26">
      <c r="A8" s="48"/>
      <c r="B8" s="76"/>
      <c r="C8" s="79"/>
      <c r="D8" s="34" t="s">
        <v>73</v>
      </c>
      <c r="E8" s="35" t="e">
        <f>'Câu hỏi phỏng vấn'!#REF!</f>
        <v>#REF!</v>
      </c>
      <c r="F8" s="33">
        <v>0.05</v>
      </c>
      <c r="G8" s="40">
        <f t="shared" si="6"/>
        <v>5</v>
      </c>
      <c r="H8" s="40">
        <f>G8+$O$8</f>
        <v>16.25</v>
      </c>
      <c r="I8" s="40">
        <f t="shared" ref="I8:K8" si="13">H8+$O$8</f>
        <v>27.5</v>
      </c>
      <c r="J8" s="40">
        <f t="shared" si="13"/>
        <v>38.75</v>
      </c>
      <c r="K8" s="40">
        <f t="shared" si="13"/>
        <v>50</v>
      </c>
      <c r="L8" s="40">
        <f t="shared" si="7"/>
        <v>50</v>
      </c>
      <c r="M8" s="40">
        <f t="shared" si="8"/>
        <v>5</v>
      </c>
      <c r="N8" s="40">
        <v>5</v>
      </c>
      <c r="O8" s="41">
        <f t="shared" si="9"/>
        <v>11.25</v>
      </c>
      <c r="P8" s="58" t="e">
        <f t="shared" si="0"/>
        <v>#REF!</v>
      </c>
      <c r="Q8" s="45">
        <v>1</v>
      </c>
      <c r="R8" s="40">
        <f t="shared" si="1"/>
        <v>5</v>
      </c>
      <c r="S8" s="45">
        <v>2</v>
      </c>
      <c r="T8" s="45">
        <f t="shared" si="2"/>
        <v>16.25</v>
      </c>
      <c r="U8" s="45">
        <v>3</v>
      </c>
      <c r="V8" s="45">
        <f t="shared" si="3"/>
        <v>27.5</v>
      </c>
      <c r="W8" s="45">
        <v>4</v>
      </c>
      <c r="X8" s="45">
        <f t="shared" si="4"/>
        <v>38.75</v>
      </c>
      <c r="Y8" s="45">
        <v>5</v>
      </c>
      <c r="Z8" s="45">
        <f t="shared" si="5"/>
        <v>50</v>
      </c>
    </row>
    <row r="9" spans="1:26">
      <c r="A9" s="49">
        <v>5.0999999999999996</v>
      </c>
      <c r="B9" s="77"/>
      <c r="C9" s="80"/>
      <c r="D9" s="34" t="s">
        <v>74</v>
      </c>
      <c r="E9" s="35" t="e">
        <f>'Câu hỏi phỏng vấn'!#REF!</f>
        <v>#REF!</v>
      </c>
      <c r="F9" s="33">
        <v>0.15</v>
      </c>
      <c r="G9" s="40">
        <f t="shared" si="6"/>
        <v>15</v>
      </c>
      <c r="H9" s="40">
        <f>G9+$O$9</f>
        <v>48.75</v>
      </c>
      <c r="I9" s="40">
        <f t="shared" ref="I9:K9" si="14">H9+$O$9</f>
        <v>82.5</v>
      </c>
      <c r="J9" s="40">
        <f t="shared" si="14"/>
        <v>116.25</v>
      </c>
      <c r="K9" s="40">
        <f t="shared" si="14"/>
        <v>150</v>
      </c>
      <c r="L9" s="40">
        <f t="shared" si="7"/>
        <v>150</v>
      </c>
      <c r="M9" s="40">
        <f t="shared" si="8"/>
        <v>15</v>
      </c>
      <c r="N9" s="40">
        <v>5</v>
      </c>
      <c r="O9" s="41">
        <f t="shared" si="9"/>
        <v>33.75</v>
      </c>
      <c r="P9" s="58" t="e">
        <f t="shared" si="0"/>
        <v>#REF!</v>
      </c>
      <c r="Q9" s="45">
        <v>2</v>
      </c>
      <c r="R9" s="40">
        <f t="shared" si="1"/>
        <v>48.75</v>
      </c>
      <c r="S9" s="45">
        <v>3</v>
      </c>
      <c r="T9" s="45">
        <f t="shared" si="2"/>
        <v>82.5</v>
      </c>
      <c r="U9" s="45">
        <v>3</v>
      </c>
      <c r="V9" s="45">
        <f t="shared" si="3"/>
        <v>82.5</v>
      </c>
      <c r="W9" s="45">
        <v>4</v>
      </c>
      <c r="X9" s="45">
        <f t="shared" si="4"/>
        <v>116.25</v>
      </c>
      <c r="Y9" s="45">
        <v>5</v>
      </c>
      <c r="Z9" s="45">
        <f t="shared" si="5"/>
        <v>150</v>
      </c>
    </row>
    <row r="10" spans="1:26">
      <c r="A10" s="48">
        <v>4.0999999999999996</v>
      </c>
      <c r="B10" s="75" t="s">
        <v>75</v>
      </c>
      <c r="C10" s="78">
        <v>0.24</v>
      </c>
      <c r="D10" s="42" t="s">
        <v>76</v>
      </c>
      <c r="E10" s="32">
        <f>'Câu hỏi phỏng vấn'!C30</f>
        <v>0</v>
      </c>
      <c r="F10" s="33">
        <v>7.0000000000000007E-2</v>
      </c>
      <c r="G10" s="40">
        <f t="shared" si="6"/>
        <v>7.0000000000000009</v>
      </c>
      <c r="H10" s="40">
        <f>G10+$O$10</f>
        <v>22.75</v>
      </c>
      <c r="I10" s="40">
        <f t="shared" ref="I10:K10" si="15">H10+$O$10</f>
        <v>38.5</v>
      </c>
      <c r="J10" s="40">
        <f t="shared" si="15"/>
        <v>54.25</v>
      </c>
      <c r="K10" s="40">
        <f t="shared" si="15"/>
        <v>70</v>
      </c>
      <c r="L10" s="40">
        <f t="shared" si="7"/>
        <v>70</v>
      </c>
      <c r="M10" s="40">
        <f t="shared" si="8"/>
        <v>7.0000000000000009</v>
      </c>
      <c r="N10" s="40">
        <v>5</v>
      </c>
      <c r="O10" s="41">
        <f t="shared" si="9"/>
        <v>15.75</v>
      </c>
      <c r="P10" s="58">
        <f t="shared" si="0"/>
        <v>-8.75</v>
      </c>
      <c r="Q10" s="45">
        <v>1</v>
      </c>
      <c r="R10" s="40">
        <f t="shared" si="1"/>
        <v>7.0000000000000009</v>
      </c>
      <c r="S10" s="45">
        <v>2</v>
      </c>
      <c r="T10" s="45">
        <f t="shared" si="2"/>
        <v>22.75</v>
      </c>
      <c r="U10" s="45">
        <v>3</v>
      </c>
      <c r="V10" s="45">
        <f t="shared" si="3"/>
        <v>38.5</v>
      </c>
      <c r="W10" s="45">
        <v>4</v>
      </c>
      <c r="X10" s="45">
        <f t="shared" si="4"/>
        <v>54.25</v>
      </c>
      <c r="Y10" s="45">
        <v>5</v>
      </c>
      <c r="Z10" s="45">
        <f t="shared" si="5"/>
        <v>70</v>
      </c>
    </row>
    <row r="11" spans="1:26">
      <c r="A11" s="48"/>
      <c r="B11" s="76"/>
      <c r="C11" s="79"/>
      <c r="D11" s="43" t="s">
        <v>77</v>
      </c>
      <c r="E11" s="35" t="e">
        <f>'Câu hỏi phỏng vấn'!#REF!</f>
        <v>#REF!</v>
      </c>
      <c r="F11" s="33">
        <v>0.06</v>
      </c>
      <c r="G11" s="40">
        <f t="shared" si="6"/>
        <v>6</v>
      </c>
      <c r="H11" s="40">
        <f>G11+$O$11</f>
        <v>19.5</v>
      </c>
      <c r="I11" s="40">
        <f t="shared" ref="I11:K11" si="16">H11+$O$11</f>
        <v>33</v>
      </c>
      <c r="J11" s="40">
        <f t="shared" si="16"/>
        <v>46.5</v>
      </c>
      <c r="K11" s="40">
        <f t="shared" si="16"/>
        <v>60</v>
      </c>
      <c r="L11" s="40">
        <f t="shared" si="7"/>
        <v>60</v>
      </c>
      <c r="M11" s="40">
        <f t="shared" si="8"/>
        <v>6</v>
      </c>
      <c r="N11" s="40">
        <v>5</v>
      </c>
      <c r="O11" s="41">
        <f t="shared" si="9"/>
        <v>13.5</v>
      </c>
      <c r="P11" s="58" t="e">
        <f t="shared" si="0"/>
        <v>#REF!</v>
      </c>
      <c r="Q11" s="45">
        <v>2</v>
      </c>
      <c r="R11" s="40">
        <f t="shared" si="1"/>
        <v>19.5</v>
      </c>
      <c r="S11" s="45">
        <v>2</v>
      </c>
      <c r="T11" s="45">
        <f t="shared" si="2"/>
        <v>19.5</v>
      </c>
      <c r="U11" s="45">
        <v>3</v>
      </c>
      <c r="V11" s="45">
        <f t="shared" si="3"/>
        <v>33</v>
      </c>
      <c r="W11" s="45">
        <v>4</v>
      </c>
      <c r="X11" s="45">
        <f t="shared" si="4"/>
        <v>46.5</v>
      </c>
      <c r="Y11" s="45">
        <v>4</v>
      </c>
      <c r="Z11" s="45">
        <f t="shared" si="5"/>
        <v>46.5</v>
      </c>
    </row>
    <row r="12" spans="1:26">
      <c r="A12" s="46">
        <v>5.2</v>
      </c>
      <c r="B12" s="76"/>
      <c r="C12" s="79"/>
      <c r="D12" s="31" t="s">
        <v>78</v>
      </c>
      <c r="E12" s="32">
        <f>'Câu hỏi phỏng vấn'!C35</f>
        <v>0</v>
      </c>
      <c r="F12" s="33">
        <v>0.02</v>
      </c>
      <c r="G12" s="40">
        <f t="shared" si="6"/>
        <v>2</v>
      </c>
      <c r="H12" s="40">
        <f>G12+$O$12</f>
        <v>8</v>
      </c>
      <c r="I12" s="40">
        <f t="shared" ref="I12:J12" si="17">H12+$O$12</f>
        <v>14</v>
      </c>
      <c r="J12" s="40">
        <f t="shared" si="17"/>
        <v>20</v>
      </c>
      <c r="K12" s="40"/>
      <c r="L12" s="40">
        <f t="shared" si="7"/>
        <v>20</v>
      </c>
      <c r="M12" s="40">
        <f t="shared" si="8"/>
        <v>2</v>
      </c>
      <c r="N12" s="40">
        <v>4</v>
      </c>
      <c r="O12" s="41">
        <f t="shared" si="9"/>
        <v>6</v>
      </c>
      <c r="P12" s="58">
        <f t="shared" si="0"/>
        <v>-4</v>
      </c>
      <c r="Q12" s="45">
        <v>1</v>
      </c>
      <c r="R12" s="40">
        <f t="shared" si="1"/>
        <v>2</v>
      </c>
      <c r="S12" s="45">
        <v>1</v>
      </c>
      <c r="T12" s="45">
        <f t="shared" si="2"/>
        <v>2</v>
      </c>
      <c r="U12" s="45">
        <v>3</v>
      </c>
      <c r="V12" s="45">
        <f t="shared" si="3"/>
        <v>14</v>
      </c>
      <c r="W12" s="45">
        <v>3</v>
      </c>
      <c r="X12" s="45">
        <f t="shared" si="4"/>
        <v>14</v>
      </c>
      <c r="Y12" s="45">
        <v>3</v>
      </c>
      <c r="Z12" s="45">
        <f t="shared" si="5"/>
        <v>14</v>
      </c>
    </row>
    <row r="13" spans="1:26">
      <c r="A13" s="46">
        <v>5.3</v>
      </c>
      <c r="B13" s="76"/>
      <c r="C13" s="79"/>
      <c r="D13" s="31" t="s">
        <v>79</v>
      </c>
      <c r="E13" s="32">
        <f>'Câu hỏi phỏng vấn'!C36</f>
        <v>0</v>
      </c>
      <c r="F13" s="33">
        <v>0.05</v>
      </c>
      <c r="G13" s="40">
        <f t="shared" si="6"/>
        <v>5</v>
      </c>
      <c r="H13" s="40">
        <f>G13+$O$13</f>
        <v>16.25</v>
      </c>
      <c r="I13" s="40">
        <f t="shared" ref="I13:K13" si="18">H13+$O$13</f>
        <v>27.5</v>
      </c>
      <c r="J13" s="40">
        <f t="shared" si="18"/>
        <v>38.75</v>
      </c>
      <c r="K13" s="40">
        <f t="shared" si="18"/>
        <v>50</v>
      </c>
      <c r="L13" s="40">
        <f t="shared" si="7"/>
        <v>50</v>
      </c>
      <c r="M13" s="40">
        <f t="shared" si="8"/>
        <v>5</v>
      </c>
      <c r="N13" s="40">
        <v>5</v>
      </c>
      <c r="O13" s="41">
        <f t="shared" si="9"/>
        <v>11.25</v>
      </c>
      <c r="P13" s="58">
        <f t="shared" si="0"/>
        <v>-6.25</v>
      </c>
      <c r="Q13" s="45">
        <v>2</v>
      </c>
      <c r="R13" s="40">
        <f t="shared" si="1"/>
        <v>16.25</v>
      </c>
      <c r="S13" s="45">
        <v>2</v>
      </c>
      <c r="T13" s="45">
        <f t="shared" si="2"/>
        <v>16.25</v>
      </c>
      <c r="U13" s="45">
        <v>2</v>
      </c>
      <c r="V13" s="45">
        <f t="shared" si="3"/>
        <v>16.25</v>
      </c>
      <c r="W13" s="45">
        <v>3</v>
      </c>
      <c r="X13" s="45">
        <f t="shared" si="4"/>
        <v>27.5</v>
      </c>
      <c r="Y13" s="45">
        <v>5</v>
      </c>
      <c r="Z13" s="45">
        <f t="shared" si="5"/>
        <v>50</v>
      </c>
    </row>
    <row r="14" spans="1:26">
      <c r="A14" s="46">
        <v>3</v>
      </c>
      <c r="B14" s="77"/>
      <c r="C14" s="80"/>
      <c r="D14" s="31" t="s">
        <v>80</v>
      </c>
      <c r="E14" s="32">
        <f>'Câu hỏi phỏng vấn'!C13</f>
        <v>0</v>
      </c>
      <c r="F14" s="33">
        <v>0.04</v>
      </c>
      <c r="G14" s="40">
        <f t="shared" si="6"/>
        <v>4</v>
      </c>
      <c r="H14" s="40">
        <f>G14+$O$14</f>
        <v>22</v>
      </c>
      <c r="I14" s="40">
        <f>H14+$O$14</f>
        <v>40</v>
      </c>
      <c r="J14" s="40"/>
      <c r="K14" s="40"/>
      <c r="L14" s="40">
        <f t="shared" si="7"/>
        <v>40</v>
      </c>
      <c r="M14" s="40">
        <f t="shared" si="8"/>
        <v>4</v>
      </c>
      <c r="N14" s="40">
        <v>3</v>
      </c>
      <c r="O14" s="41">
        <f t="shared" si="9"/>
        <v>18</v>
      </c>
      <c r="P14" s="58">
        <f t="shared" si="0"/>
        <v>-14</v>
      </c>
      <c r="Q14" s="45">
        <v>2</v>
      </c>
      <c r="R14" s="40">
        <f t="shared" si="1"/>
        <v>22</v>
      </c>
      <c r="S14" s="45">
        <v>2</v>
      </c>
      <c r="T14" s="45">
        <f t="shared" si="2"/>
        <v>22</v>
      </c>
      <c r="U14" s="45">
        <v>3</v>
      </c>
      <c r="V14" s="45">
        <f t="shared" si="3"/>
        <v>40</v>
      </c>
      <c r="W14" s="45">
        <v>3</v>
      </c>
      <c r="X14" s="45">
        <f t="shared" si="4"/>
        <v>40</v>
      </c>
      <c r="Y14" s="45">
        <v>3</v>
      </c>
      <c r="Z14" s="45">
        <f t="shared" si="5"/>
        <v>40</v>
      </c>
    </row>
    <row r="15" spans="1:26">
      <c r="A15" s="46">
        <v>6.2</v>
      </c>
      <c r="B15" s="30" t="s">
        <v>81</v>
      </c>
      <c r="C15" s="36">
        <v>0.02</v>
      </c>
      <c r="D15" s="31" t="s">
        <v>82</v>
      </c>
      <c r="E15" s="32">
        <f>'Câu hỏi phỏng vấn'!C45</f>
        <v>0</v>
      </c>
      <c r="F15" s="33">
        <v>0.02</v>
      </c>
      <c r="G15" s="40">
        <f t="shared" si="6"/>
        <v>2</v>
      </c>
      <c r="H15" s="40">
        <f>G15+$O$15</f>
        <v>6.5</v>
      </c>
      <c r="I15" s="40">
        <f t="shared" ref="I15:K15" si="19">H15+$O$15</f>
        <v>11</v>
      </c>
      <c r="J15" s="40">
        <f t="shared" si="19"/>
        <v>15.5</v>
      </c>
      <c r="K15" s="40">
        <f t="shared" si="19"/>
        <v>20</v>
      </c>
      <c r="L15" s="40">
        <f t="shared" si="7"/>
        <v>20</v>
      </c>
      <c r="M15" s="40">
        <f t="shared" si="8"/>
        <v>2</v>
      </c>
      <c r="N15" s="40">
        <v>5</v>
      </c>
      <c r="O15" s="41">
        <f t="shared" si="9"/>
        <v>4.5</v>
      </c>
      <c r="P15" s="58">
        <f t="shared" si="0"/>
        <v>-2.5</v>
      </c>
      <c r="Q15" s="45">
        <v>1</v>
      </c>
      <c r="R15" s="40">
        <f t="shared" si="1"/>
        <v>2</v>
      </c>
      <c r="S15" s="45">
        <v>2</v>
      </c>
      <c r="T15" s="45">
        <f t="shared" si="2"/>
        <v>6.5</v>
      </c>
      <c r="U15" s="45">
        <v>3</v>
      </c>
      <c r="V15" s="45">
        <f t="shared" si="3"/>
        <v>11</v>
      </c>
      <c r="W15" s="45">
        <v>4</v>
      </c>
      <c r="X15" s="45">
        <f t="shared" si="4"/>
        <v>15.5</v>
      </c>
      <c r="Y15" s="45">
        <v>4</v>
      </c>
      <c r="Z15" s="45">
        <f t="shared" si="5"/>
        <v>15.5</v>
      </c>
    </row>
    <row r="16" spans="1:26">
      <c r="D16" s="50"/>
      <c r="E16" s="50"/>
      <c r="F16" s="51">
        <f>SUM(F3:F15)</f>
        <v>1.0000000000000002</v>
      </c>
      <c r="G16" s="50"/>
      <c r="H16" s="50"/>
      <c r="I16" s="51"/>
      <c r="J16" s="50"/>
      <c r="K16" s="50"/>
      <c r="L16" s="50"/>
      <c r="M16" s="50"/>
      <c r="N16" s="50"/>
      <c r="O16" s="50"/>
      <c r="P16" s="52" t="e">
        <f t="shared" ref="P16:Z16" si="20">SUM(P3:P15)</f>
        <v>#REF!</v>
      </c>
      <c r="Q16" s="52">
        <f t="shared" si="20"/>
        <v>20</v>
      </c>
      <c r="R16" s="52">
        <f t="shared" si="20"/>
        <v>280</v>
      </c>
      <c r="S16" s="52">
        <f t="shared" si="20"/>
        <v>29</v>
      </c>
      <c r="T16" s="52">
        <f t="shared" si="20"/>
        <v>478</v>
      </c>
      <c r="U16" s="52">
        <f t="shared" si="20"/>
        <v>39</v>
      </c>
      <c r="V16" s="52">
        <f t="shared" si="20"/>
        <v>580</v>
      </c>
      <c r="W16" s="52">
        <f t="shared" si="20"/>
        <v>48</v>
      </c>
      <c r="X16" s="52">
        <f t="shared" si="20"/>
        <v>775.75</v>
      </c>
      <c r="Y16" s="52">
        <f t="shared" si="20"/>
        <v>55</v>
      </c>
      <c r="Z16" s="52">
        <f t="shared" si="20"/>
        <v>960.25</v>
      </c>
    </row>
    <row r="17" spans="4:26">
      <c r="D17" s="54" t="s">
        <v>83</v>
      </c>
      <c r="E17" s="54"/>
      <c r="F17" s="50"/>
      <c r="G17" s="50"/>
      <c r="H17" s="50"/>
      <c r="I17" s="50"/>
      <c r="J17" s="50"/>
      <c r="K17" s="50"/>
      <c r="L17" s="55">
        <f>SUM(L3:L15)</f>
        <v>1000</v>
      </c>
      <c r="N17" s="50"/>
      <c r="O17" s="50"/>
      <c r="P17" s="52"/>
      <c r="Q17" s="53"/>
      <c r="R17" s="53"/>
      <c r="T17" s="44">
        <f>T16-R16</f>
        <v>198</v>
      </c>
      <c r="V17" s="44">
        <f>V16-T16</f>
        <v>102</v>
      </c>
      <c r="X17" s="44">
        <f>X16-V16</f>
        <v>195.75</v>
      </c>
      <c r="Z17" s="44">
        <f>Z16-X16</f>
        <v>184.5</v>
      </c>
    </row>
    <row r="18" spans="4:26">
      <c r="D18" s="56" t="s">
        <v>84</v>
      </c>
      <c r="E18" s="56"/>
      <c r="F18" s="57">
        <v>1000</v>
      </c>
      <c r="G18" s="50"/>
      <c r="I18" s="50"/>
      <c r="J18" s="50"/>
      <c r="K18" s="50"/>
      <c r="L18" s="50"/>
      <c r="N18" s="50"/>
      <c r="O18" s="50"/>
      <c r="P18" s="50"/>
      <c r="Q18" s="53"/>
      <c r="R18" s="53"/>
    </row>
    <row r="19" spans="4:26">
      <c r="D19" s="56" t="s">
        <v>85</v>
      </c>
      <c r="E19" s="56"/>
      <c r="F19" s="57">
        <v>100</v>
      </c>
      <c r="G19" s="50"/>
      <c r="I19" s="50"/>
      <c r="J19" s="50"/>
      <c r="K19" s="50"/>
      <c r="L19" s="50"/>
      <c r="N19" s="50"/>
      <c r="O19" s="50"/>
      <c r="P19" s="50"/>
      <c r="Q19" s="53"/>
      <c r="R19" s="53"/>
    </row>
    <row r="20" spans="4:26" ht="30">
      <c r="D20" s="56" t="s">
        <v>86</v>
      </c>
      <c r="E20" s="56"/>
      <c r="F20" s="50"/>
      <c r="G20" s="50"/>
      <c r="H20" s="50"/>
      <c r="I20" s="50"/>
      <c r="J20" s="50"/>
      <c r="K20" s="50"/>
      <c r="L20" s="50"/>
      <c r="N20" s="50"/>
      <c r="O20" s="50"/>
      <c r="P20" s="50"/>
      <c r="Q20" s="53"/>
      <c r="R20" s="60" t="s">
        <v>87</v>
      </c>
      <c r="S20" s="59">
        <f>R16</f>
        <v>280</v>
      </c>
    </row>
    <row r="21" spans="4:26" ht="45">
      <c r="D21" s="56" t="s">
        <v>88</v>
      </c>
      <c r="E21" s="56"/>
      <c r="F21" s="50"/>
      <c r="G21" s="50"/>
      <c r="H21" s="50"/>
      <c r="I21" s="50"/>
      <c r="J21" s="50"/>
      <c r="K21" s="50"/>
      <c r="L21" s="50"/>
      <c r="N21" s="50"/>
      <c r="O21" s="50"/>
      <c r="P21" s="50"/>
      <c r="Q21" s="53"/>
      <c r="R21" s="60" t="s">
        <v>89</v>
      </c>
      <c r="S21" s="59">
        <f>T16</f>
        <v>478</v>
      </c>
    </row>
    <row r="22" spans="4:26" ht="15" customHeight="1">
      <c r="R22" s="61" t="s">
        <v>90</v>
      </c>
      <c r="S22" s="59">
        <f>V16</f>
        <v>580</v>
      </c>
      <c r="U22" s="44">
        <f>S22-S21</f>
        <v>102</v>
      </c>
    </row>
    <row r="23" spans="4:26" ht="15" customHeight="1">
      <c r="R23" s="61" t="s">
        <v>91</v>
      </c>
      <c r="S23" s="62">
        <f>X16</f>
        <v>775.75</v>
      </c>
      <c r="U23" s="44">
        <f>S23-S22</f>
        <v>195.75</v>
      </c>
    </row>
    <row r="24" spans="4:26" ht="15" customHeight="1">
      <c r="R24" s="61" t="s">
        <v>92</v>
      </c>
      <c r="S24" s="62">
        <f>Z16</f>
        <v>960.25</v>
      </c>
      <c r="U24" s="44">
        <f>S24-S23</f>
        <v>184.5</v>
      </c>
    </row>
  </sheetData>
  <mergeCells count="17">
    <mergeCell ref="A1:A2"/>
    <mergeCell ref="B1:B2"/>
    <mergeCell ref="C1:C2"/>
    <mergeCell ref="D1:D2"/>
    <mergeCell ref="G1:K1"/>
    <mergeCell ref="P1:P2"/>
    <mergeCell ref="E1:E2"/>
    <mergeCell ref="C3:C4"/>
    <mergeCell ref="B3:B4"/>
    <mergeCell ref="B10:B14"/>
    <mergeCell ref="C10:C14"/>
    <mergeCell ref="C5:C9"/>
    <mergeCell ref="B5:B9"/>
    <mergeCell ref="M1:M2"/>
    <mergeCell ref="N1:N2"/>
    <mergeCell ref="O1:O2"/>
    <mergeCell ref="L1:L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1980118-7448-4ead-97fb-a856878e6ae4">
      <Terms xmlns="http://schemas.microsoft.com/office/infopath/2007/PartnerControls"/>
    </lcf76f155ced4ddcb4097134ff3c332f>
    <TaxCatchAll xmlns="9ddc0750-edb1-4b91-b5bd-a8d23f10e42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454ECAE107E7B4AA7D7A1F16F9253DD" ma:contentTypeVersion="19" ma:contentTypeDescription="Create a new document." ma:contentTypeScope="" ma:versionID="73fe50230ad1e40f5cd688d75e973ac4">
  <xsd:schema xmlns:xsd="http://www.w3.org/2001/XMLSchema" xmlns:xs="http://www.w3.org/2001/XMLSchema" xmlns:p="http://schemas.microsoft.com/office/2006/metadata/properties" xmlns:ns2="9ddc0750-edb1-4b91-b5bd-a8d23f10e42a" xmlns:ns3="e1980118-7448-4ead-97fb-a856878e6ae4" targetNamespace="http://schemas.microsoft.com/office/2006/metadata/properties" ma:root="true" ma:fieldsID="d7316a0d3fb31c4595854ec20fa1382c" ns2:_="" ns3:_="">
    <xsd:import namespace="9ddc0750-edb1-4b91-b5bd-a8d23f10e42a"/>
    <xsd:import namespace="e1980118-7448-4ead-97fb-a856878e6ae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ServiceLocation"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dc0750-edb1-4b91-b5bd-a8d23f10e42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644080f-8725-405f-a411-439b61095221}" ma:internalName="TaxCatchAll" ma:showField="CatchAllData" ma:web="9ddc0750-edb1-4b91-b5bd-a8d23f10e42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e1980118-7448-4ead-97fb-a856878e6ae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b4a57264-ac35-4eb0-866e-4f624dc13f5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5F9000C-3D97-46D7-8D4E-FC31A1F561D5}"/>
</file>

<file path=customXml/itemProps2.xml><?xml version="1.0" encoding="utf-8"?>
<ds:datastoreItem xmlns:ds="http://schemas.openxmlformats.org/officeDocument/2006/customXml" ds:itemID="{DCB05DFC-6536-4A43-A266-3E31F10931BC}"/>
</file>

<file path=customXml/itemProps3.xml><?xml version="1.0" encoding="utf-8"?>
<ds:datastoreItem xmlns:ds="http://schemas.openxmlformats.org/officeDocument/2006/customXml" ds:itemID="{BDB8D97D-8685-41E0-926E-FC784123A4F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Trần Văn Lực (KHN.QA.MNG)</dc:creator>
  <cp:keywords/>
  <dc:description/>
  <cp:lastModifiedBy/>
  <cp:revision/>
  <dcterms:created xsi:type="dcterms:W3CDTF">2015-06-05T18:17:20Z</dcterms:created>
  <dcterms:modified xsi:type="dcterms:W3CDTF">2026-02-26T02:16:55Z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0x0101002454ECAE107E7B4AA7D7A1F16F9253DD</vt:lpwstr>
  </property>
  <property fmtid="{D5CDD505-2E9C-101B-9397-08002B2CF9AE}" pid="3" name="MediaServiceImageTags">
    <vt:lpwstr/>
  </property>
</Properties>
</file>